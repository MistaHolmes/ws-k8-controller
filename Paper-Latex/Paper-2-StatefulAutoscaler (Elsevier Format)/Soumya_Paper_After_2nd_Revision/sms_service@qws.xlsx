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kesh\Google Drive\4 sci paper\Journal of Computational Science\"/>
    </mc:Choice>
  </mc:AlternateContent>
  <bookViews>
    <workbookView xWindow="0" yWindow="0" windowWidth="24000" windowHeight="9735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4" i="2" l="1"/>
  <c r="M23" i="2"/>
  <c r="M22" i="2"/>
  <c r="M21" i="2"/>
  <c r="M20" i="2"/>
  <c r="M19" i="2"/>
  <c r="M18" i="2"/>
  <c r="L18" i="2"/>
  <c r="L19" i="2"/>
  <c r="L20" i="2"/>
  <c r="L21" i="2"/>
  <c r="L22" i="2"/>
  <c r="L23" i="2"/>
  <c r="L24" i="2"/>
  <c r="L17" i="2"/>
  <c r="P5" i="2"/>
  <c r="P6" i="2"/>
  <c r="P7" i="2"/>
  <c r="P8" i="2"/>
  <c r="P4" i="2"/>
  <c r="D20" i="1" l="1"/>
  <c r="D19" i="1"/>
  <c r="D18" i="1"/>
  <c r="C17" i="1"/>
  <c r="C18" i="1"/>
  <c r="C19" i="1"/>
  <c r="C20" i="1"/>
  <c r="C21" i="1"/>
  <c r="C16" i="1"/>
  <c r="D17" i="1" l="1"/>
</calcChain>
</file>

<file path=xl/sharedStrings.xml><?xml version="1.0" encoding="utf-8"?>
<sst xmlns="http://schemas.openxmlformats.org/spreadsheetml/2006/main" count="110" uniqueCount="40">
  <si>
    <t>Services</t>
  </si>
  <si>
    <t>Response Time</t>
  </si>
  <si>
    <t>Availability</t>
  </si>
  <si>
    <t>Throughput</t>
  </si>
  <si>
    <t>Successability</t>
  </si>
  <si>
    <t>Reliability</t>
  </si>
  <si>
    <t>Latency</t>
  </si>
  <si>
    <t>Sms Gateway</t>
  </si>
  <si>
    <t>ISMS Service</t>
  </si>
  <si>
    <t>SmartService</t>
  </si>
  <si>
    <t>ATTSMS</t>
  </si>
  <si>
    <t>brandedSMS</t>
  </si>
  <si>
    <t>Sms2Message</t>
  </si>
  <si>
    <t>EnvioSms</t>
  </si>
  <si>
    <t>Eigenvalue</t>
  </si>
  <si>
    <t>Ratio</t>
  </si>
  <si>
    <t>Totalratio</t>
  </si>
  <si>
    <t>Eigenvector</t>
  </si>
  <si>
    <t>Correlation Coefficient between QoS attributes</t>
  </si>
  <si>
    <t>Compliance</t>
  </si>
  <si>
    <t>Best Practices</t>
  </si>
  <si>
    <t>SmSApiService</t>
  </si>
  <si>
    <t>SendSMSWorld</t>
  </si>
  <si>
    <t>SMSWS</t>
  </si>
  <si>
    <t>Normalize</t>
  </si>
  <si>
    <t>Correlation Matrix</t>
  </si>
  <si>
    <t>q1</t>
  </si>
  <si>
    <t>q2</t>
  </si>
  <si>
    <t>q3</t>
  </si>
  <si>
    <t>q4</t>
  </si>
  <si>
    <t>q5</t>
  </si>
  <si>
    <t>q6</t>
  </si>
  <si>
    <t>q7</t>
  </si>
  <si>
    <t>q8</t>
  </si>
  <si>
    <t>Eigen Vector</t>
  </si>
  <si>
    <t>Y1</t>
  </si>
  <si>
    <t>Y2</t>
  </si>
  <si>
    <t>Y3</t>
  </si>
  <si>
    <t>Total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</si>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</sst>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B15" sqref="B15:D21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4" width="12" bestFit="1" customWidth="1"/>
    <col min="5" max="5" width="13.42578125" bestFit="1" customWidth="1"/>
    <col min="6" max="6" width="10" bestFit="1" customWidth="1"/>
    <col min="11" max="11" width="14.5703125" bestFit="1" customWidth="1"/>
    <col min="13" max="13" width="11" bestFit="1" customWidth="1"/>
    <col min="14" max="14" width="11.28515625" bestFit="1" customWidth="1"/>
    <col min="15" max="15" width="13.42578125" bestFit="1" customWidth="1"/>
    <col min="16" max="16" width="1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M1" s="1" t="s">
        <v>18</v>
      </c>
      <c r="N1" s="1"/>
      <c r="O1" s="1"/>
      <c r="P1" s="1"/>
      <c r="Q1" s="1"/>
    </row>
    <row r="2" spans="1:17" x14ac:dyDescent="0.25">
      <c r="A2" t="s">
        <v>7</v>
      </c>
      <c r="B2">
        <v>720</v>
      </c>
      <c r="C2">
        <v>6</v>
      </c>
      <c r="D2">
        <v>85</v>
      </c>
      <c r="E2">
        <v>87</v>
      </c>
      <c r="F2">
        <v>80</v>
      </c>
      <c r="G2">
        <v>5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</row>
    <row r="3" spans="1:17" x14ac:dyDescent="0.25">
      <c r="A3" t="s">
        <v>8</v>
      </c>
      <c r="B3">
        <v>1100</v>
      </c>
      <c r="C3">
        <v>8.74</v>
      </c>
      <c r="D3">
        <v>81</v>
      </c>
      <c r="E3">
        <v>79</v>
      </c>
      <c r="F3">
        <v>98</v>
      </c>
      <c r="G3">
        <v>2</v>
      </c>
      <c r="K3" t="s">
        <v>1</v>
      </c>
      <c r="L3">
        <v>1</v>
      </c>
      <c r="M3">
        <v>0.54249999999999998</v>
      </c>
      <c r="N3">
        <v>0.65890000000000004</v>
      </c>
      <c r="O3">
        <v>0.8054</v>
      </c>
      <c r="P3">
        <v>-7.4899999999999994E-2</v>
      </c>
      <c r="Q3">
        <v>-0.60070000000000001</v>
      </c>
    </row>
    <row r="4" spans="1:17" x14ac:dyDescent="0.25">
      <c r="A4" t="s">
        <v>9</v>
      </c>
      <c r="B4">
        <v>710</v>
      </c>
      <c r="C4">
        <v>12</v>
      </c>
      <c r="D4">
        <v>98</v>
      </c>
      <c r="E4">
        <v>96</v>
      </c>
      <c r="F4">
        <v>99</v>
      </c>
      <c r="G4">
        <v>9</v>
      </c>
      <c r="K4" t="s">
        <v>2</v>
      </c>
      <c r="L4">
        <v>0.54249999999999998</v>
      </c>
      <c r="M4">
        <v>1</v>
      </c>
      <c r="N4">
        <v>0.80669999999999997</v>
      </c>
      <c r="O4">
        <v>0.85489999999999999</v>
      </c>
      <c r="P4">
        <v>-0.1016</v>
      </c>
      <c r="Q4">
        <v>-0.74829999999999997</v>
      </c>
    </row>
    <row r="5" spans="1:17" x14ac:dyDescent="0.25">
      <c r="A5" t="s">
        <v>10</v>
      </c>
      <c r="B5">
        <v>912</v>
      </c>
      <c r="C5">
        <v>10</v>
      </c>
      <c r="D5">
        <v>96</v>
      </c>
      <c r="E5">
        <v>94</v>
      </c>
      <c r="F5">
        <v>98</v>
      </c>
      <c r="G5">
        <v>7</v>
      </c>
      <c r="K5" t="s">
        <v>3</v>
      </c>
      <c r="L5">
        <v>0.65890000000000004</v>
      </c>
      <c r="M5">
        <v>0.80669999999999997</v>
      </c>
      <c r="N5">
        <v>1</v>
      </c>
      <c r="O5">
        <v>0.95760000000000001</v>
      </c>
      <c r="P5">
        <v>0.2258</v>
      </c>
      <c r="Q5">
        <v>-0.72640000000000005</v>
      </c>
    </row>
    <row r="6" spans="1:17" x14ac:dyDescent="0.25">
      <c r="A6" t="s">
        <v>11</v>
      </c>
      <c r="B6">
        <v>910</v>
      </c>
      <c r="C6">
        <v>11</v>
      </c>
      <c r="D6">
        <v>90</v>
      </c>
      <c r="E6">
        <v>91</v>
      </c>
      <c r="F6">
        <v>70</v>
      </c>
      <c r="G6">
        <v>3</v>
      </c>
      <c r="K6" t="s">
        <v>4</v>
      </c>
      <c r="L6">
        <v>0.8054</v>
      </c>
      <c r="M6">
        <v>0.85489999999999999</v>
      </c>
      <c r="N6">
        <v>0.95760000000000001</v>
      </c>
      <c r="O6">
        <v>1</v>
      </c>
      <c r="P6">
        <v>1.55E-2</v>
      </c>
      <c r="Q6">
        <v>-0.74129999999999996</v>
      </c>
    </row>
    <row r="7" spans="1:17" x14ac:dyDescent="0.25">
      <c r="A7" t="s">
        <v>12</v>
      </c>
      <c r="B7">
        <v>1232</v>
      </c>
      <c r="C7">
        <v>4</v>
      </c>
      <c r="D7">
        <v>87</v>
      </c>
      <c r="E7">
        <v>83</v>
      </c>
      <c r="F7">
        <v>90</v>
      </c>
      <c r="G7">
        <v>1</v>
      </c>
      <c r="K7" t="s">
        <v>5</v>
      </c>
      <c r="L7">
        <v>-7.4899999999999994E-2</v>
      </c>
      <c r="M7">
        <v>-0.1016</v>
      </c>
      <c r="N7">
        <v>0.2258</v>
      </c>
      <c r="O7">
        <v>1.55E-2</v>
      </c>
      <c r="P7">
        <v>1</v>
      </c>
      <c r="Q7">
        <v>-0.35899999999999999</v>
      </c>
    </row>
    <row r="8" spans="1:17" x14ac:dyDescent="0.25">
      <c r="A8" t="s">
        <v>13</v>
      </c>
      <c r="B8">
        <v>391</v>
      </c>
      <c r="C8">
        <v>9</v>
      </c>
      <c r="D8">
        <v>99</v>
      </c>
      <c r="E8">
        <v>99</v>
      </c>
      <c r="F8">
        <v>90</v>
      </c>
      <c r="G8">
        <v>5</v>
      </c>
      <c r="K8" t="s">
        <v>6</v>
      </c>
      <c r="L8">
        <v>-0.60070000000000001</v>
      </c>
      <c r="M8">
        <v>-0.74829999999999997</v>
      </c>
      <c r="N8">
        <v>-0.72640000000000005</v>
      </c>
      <c r="O8">
        <v>-0.74129999999999996</v>
      </c>
      <c r="P8">
        <v>-0.35899999999999999</v>
      </c>
      <c r="Q8">
        <v>1</v>
      </c>
    </row>
    <row r="15" spans="1:17" x14ac:dyDescent="0.25">
      <c r="B15" t="s">
        <v>14</v>
      </c>
      <c r="C15" t="s">
        <v>15</v>
      </c>
      <c r="D15" t="s">
        <v>16</v>
      </c>
      <c r="E15" t="s">
        <v>17</v>
      </c>
    </row>
    <row r="16" spans="1:17" x14ac:dyDescent="0.25">
      <c r="B16">
        <v>4.0224000000000002</v>
      </c>
      <c r="C16">
        <f>(B16)/6*100</f>
        <v>67.040000000000006</v>
      </c>
      <c r="D16">
        <v>67.045000000000002</v>
      </c>
    </row>
    <row r="17" spans="1:7" x14ac:dyDescent="0.25">
      <c r="B17">
        <v>1.1943999999999999</v>
      </c>
      <c r="C17">
        <f t="shared" ref="C17:C21" si="0">(B17)/6*100</f>
        <v>19.906666666666663</v>
      </c>
      <c r="D17">
        <f>SUM(C16:C17)</f>
        <v>86.946666666666673</v>
      </c>
    </row>
    <row r="18" spans="1:7" x14ac:dyDescent="0.25">
      <c r="B18">
        <v>0.47560000000000002</v>
      </c>
      <c r="C18">
        <f t="shared" si="0"/>
        <v>7.9266666666666667</v>
      </c>
      <c r="D18">
        <f>SUM(C16:C18)</f>
        <v>94.873333333333335</v>
      </c>
    </row>
    <row r="19" spans="1:7" x14ac:dyDescent="0.25">
      <c r="B19">
        <v>0.28820000000000001</v>
      </c>
      <c r="C19">
        <f t="shared" si="0"/>
        <v>4.8033333333333337</v>
      </c>
      <c r="D19">
        <f>SUM(C16:C19)</f>
        <v>99.676666666666662</v>
      </c>
    </row>
    <row r="20" spans="1:7" x14ac:dyDescent="0.25">
      <c r="B20">
        <v>1.7000000000000001E-2</v>
      </c>
      <c r="C20">
        <f t="shared" si="0"/>
        <v>0.28333333333333333</v>
      </c>
      <c r="D20">
        <f>SUM(C16:C20)</f>
        <v>99.96</v>
      </c>
    </row>
    <row r="21" spans="1:7" x14ac:dyDescent="0.25">
      <c r="B21">
        <v>2.5000000000000001E-3</v>
      </c>
      <c r="C21">
        <f t="shared" si="0"/>
        <v>4.1666666666666671E-2</v>
      </c>
      <c r="D21">
        <v>100</v>
      </c>
    </row>
    <row r="24" spans="1:7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</row>
    <row r="25" spans="1:7" x14ac:dyDescent="0.25">
      <c r="A25" t="s">
        <v>7</v>
      </c>
      <c r="B25">
        <v>0.60880000000000001</v>
      </c>
      <c r="C25">
        <v>0.27360000000000001</v>
      </c>
      <c r="D25">
        <v>0.22220000000000001</v>
      </c>
      <c r="E25">
        <v>0.4</v>
      </c>
      <c r="F25">
        <v>0.3448</v>
      </c>
      <c r="G25">
        <v>0.5</v>
      </c>
    </row>
    <row r="26" spans="1:7" x14ac:dyDescent="0.25">
      <c r="A26" t="s">
        <v>8</v>
      </c>
      <c r="B26">
        <v>0.157</v>
      </c>
      <c r="C26">
        <v>0</v>
      </c>
      <c r="D26">
        <v>0</v>
      </c>
      <c r="E26">
        <v>0</v>
      </c>
      <c r="F26">
        <v>0.96550000000000002</v>
      </c>
      <c r="G26">
        <v>0.875</v>
      </c>
    </row>
    <row r="27" spans="1:7" x14ac:dyDescent="0.25">
      <c r="A27" t="s">
        <v>9</v>
      </c>
      <c r="B27">
        <v>0.62070000000000003</v>
      </c>
      <c r="C27">
        <v>1</v>
      </c>
      <c r="D27">
        <v>0.94440000000000002</v>
      </c>
      <c r="E27">
        <v>0.85</v>
      </c>
      <c r="F27">
        <v>1</v>
      </c>
      <c r="G27">
        <v>0</v>
      </c>
    </row>
    <row r="28" spans="1:7" x14ac:dyDescent="0.25">
      <c r="A28" t="s">
        <v>10</v>
      </c>
      <c r="B28">
        <v>0.3805</v>
      </c>
      <c r="C28">
        <v>0.75790000000000002</v>
      </c>
      <c r="D28">
        <v>0.83330000000000004</v>
      </c>
      <c r="E28">
        <v>0.75</v>
      </c>
      <c r="F28">
        <v>0.96550000000000002</v>
      </c>
      <c r="G28">
        <v>0.25</v>
      </c>
    </row>
    <row r="29" spans="1:7" x14ac:dyDescent="0.25">
      <c r="A29" t="s">
        <v>11</v>
      </c>
      <c r="B29">
        <v>0.38290000000000002</v>
      </c>
      <c r="C29">
        <v>0.87890000000000001</v>
      </c>
      <c r="D29">
        <v>0.5</v>
      </c>
      <c r="E29">
        <v>0.6</v>
      </c>
      <c r="F29">
        <v>0</v>
      </c>
      <c r="G29">
        <v>0.75</v>
      </c>
    </row>
    <row r="30" spans="1:7" x14ac:dyDescent="0.25">
      <c r="A30" t="s">
        <v>12</v>
      </c>
      <c r="B30">
        <v>0</v>
      </c>
      <c r="C30">
        <v>3.15E-2</v>
      </c>
      <c r="D30">
        <v>0.33329999999999999</v>
      </c>
      <c r="E30">
        <v>0.2</v>
      </c>
      <c r="F30">
        <v>0.68969999999999998</v>
      </c>
      <c r="G30">
        <v>1</v>
      </c>
    </row>
    <row r="31" spans="1:7" x14ac:dyDescent="0.25">
      <c r="A31" t="s">
        <v>13</v>
      </c>
      <c r="B31">
        <v>1</v>
      </c>
      <c r="C31">
        <v>0.63680000000000003</v>
      </c>
      <c r="D31">
        <v>1</v>
      </c>
      <c r="E31">
        <v>1</v>
      </c>
      <c r="F31">
        <v>0.68969999999999998</v>
      </c>
      <c r="G31">
        <v>0.5</v>
      </c>
    </row>
  </sheetData>
  <mergeCells count="1">
    <mergeCell ref="M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opLeftCell="K1" workbookViewId="0">
      <selection activeCell="W18" sqref="W18"/>
    </sheetView>
  </sheetViews>
  <sheetFormatPr defaultRowHeight="15" x14ac:dyDescent="0.25"/>
  <cols>
    <col min="1" max="1" width="14.7109375" bestFit="1" customWidth="1"/>
    <col min="2" max="2" width="14.5703125" bestFit="1" customWidth="1"/>
    <col min="3" max="3" width="11" bestFit="1" customWidth="1"/>
    <col min="4" max="4" width="11.28515625" bestFit="1" customWidth="1"/>
    <col min="5" max="5" width="13.42578125" bestFit="1" customWidth="1"/>
    <col min="6" max="6" width="10" bestFit="1" customWidth="1"/>
    <col min="7" max="7" width="11.42578125" bestFit="1" customWidth="1"/>
    <col min="8" max="8" width="13.28515625" bestFit="1" customWidth="1"/>
    <col min="9" max="9" width="7.7109375" bestFit="1" customWidth="1"/>
    <col min="10" max="10" width="14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20</v>
      </c>
      <c r="I1" t="s">
        <v>6</v>
      </c>
      <c r="V1">
        <v>4.4999999999999998E-2</v>
      </c>
    </row>
    <row r="2" spans="1:22" x14ac:dyDescent="0.25">
      <c r="A2" t="s">
        <v>7</v>
      </c>
      <c r="B2">
        <v>307.75</v>
      </c>
      <c r="C2">
        <v>71</v>
      </c>
      <c r="D2">
        <v>2.1</v>
      </c>
      <c r="E2">
        <v>71</v>
      </c>
      <c r="F2">
        <v>73</v>
      </c>
      <c r="G2">
        <v>78</v>
      </c>
      <c r="H2">
        <v>84</v>
      </c>
      <c r="I2">
        <v>2.37</v>
      </c>
      <c r="V2">
        <v>3.0700000000000002E-2</v>
      </c>
    </row>
    <row r="3" spans="1:22" x14ac:dyDescent="0.25">
      <c r="A3" t="s">
        <v>8</v>
      </c>
      <c r="B3">
        <v>498.5</v>
      </c>
      <c r="C3">
        <v>91</v>
      </c>
      <c r="D3">
        <v>4.8</v>
      </c>
      <c r="E3">
        <v>91</v>
      </c>
      <c r="F3">
        <v>60</v>
      </c>
      <c r="G3">
        <v>89</v>
      </c>
      <c r="H3">
        <v>82</v>
      </c>
      <c r="I3">
        <v>31.17</v>
      </c>
      <c r="V3">
        <v>3.0200000000000001E-2</v>
      </c>
    </row>
    <row r="4" spans="1:22" x14ac:dyDescent="0.25">
      <c r="A4" t="s">
        <v>9</v>
      </c>
      <c r="B4">
        <v>283.74</v>
      </c>
      <c r="C4">
        <v>86</v>
      </c>
      <c r="D4">
        <v>3.3</v>
      </c>
      <c r="E4">
        <v>87</v>
      </c>
      <c r="F4">
        <v>53</v>
      </c>
      <c r="G4">
        <v>89</v>
      </c>
      <c r="H4">
        <v>66</v>
      </c>
      <c r="I4">
        <v>96.78</v>
      </c>
      <c r="O4">
        <v>3.383</v>
      </c>
      <c r="P4">
        <f>(O4/8)*100</f>
        <v>42.287500000000001</v>
      </c>
      <c r="V4">
        <v>2.81E-2</v>
      </c>
    </row>
    <row r="5" spans="1:22" x14ac:dyDescent="0.25">
      <c r="A5" t="s">
        <v>10</v>
      </c>
      <c r="B5">
        <v>130.33000000000001</v>
      </c>
      <c r="C5">
        <v>63</v>
      </c>
      <c r="D5">
        <v>7.8</v>
      </c>
      <c r="E5">
        <v>63</v>
      </c>
      <c r="F5">
        <v>73</v>
      </c>
      <c r="G5">
        <v>78</v>
      </c>
      <c r="H5">
        <v>84</v>
      </c>
      <c r="I5">
        <v>14.66</v>
      </c>
      <c r="O5">
        <v>2.0842999999999998</v>
      </c>
      <c r="P5">
        <f t="shared" ref="P5:P8" si="0">(O5/8)*100</f>
        <v>26.053749999999997</v>
      </c>
      <c r="V5">
        <v>2.7099999999999999E-2</v>
      </c>
    </row>
    <row r="6" spans="1:22" x14ac:dyDescent="0.25">
      <c r="A6" t="s">
        <v>11</v>
      </c>
      <c r="B6">
        <v>3610.2</v>
      </c>
      <c r="C6">
        <v>96</v>
      </c>
      <c r="D6">
        <v>1.4</v>
      </c>
      <c r="E6">
        <v>99</v>
      </c>
      <c r="F6">
        <v>67</v>
      </c>
      <c r="G6">
        <v>100</v>
      </c>
      <c r="H6">
        <v>77</v>
      </c>
      <c r="I6">
        <v>6.4</v>
      </c>
      <c r="O6">
        <v>1.5469999999999999</v>
      </c>
      <c r="P6">
        <f t="shared" si="0"/>
        <v>19.337499999999999</v>
      </c>
      <c r="V6">
        <v>2.5499999999999998E-2</v>
      </c>
    </row>
    <row r="7" spans="1:22" x14ac:dyDescent="0.25">
      <c r="A7" t="s">
        <v>12</v>
      </c>
      <c r="B7">
        <v>1314.75</v>
      </c>
      <c r="C7">
        <v>78</v>
      </c>
      <c r="D7">
        <v>3.5</v>
      </c>
      <c r="E7">
        <v>79</v>
      </c>
      <c r="F7">
        <v>73</v>
      </c>
      <c r="G7">
        <v>78</v>
      </c>
      <c r="H7">
        <v>84</v>
      </c>
      <c r="I7">
        <v>30.75</v>
      </c>
      <c r="O7">
        <v>0.69</v>
      </c>
      <c r="P7">
        <f t="shared" si="0"/>
        <v>8.625</v>
      </c>
      <c r="V7">
        <v>2E-3</v>
      </c>
    </row>
    <row r="8" spans="1:22" x14ac:dyDescent="0.25">
      <c r="A8" t="s">
        <v>13</v>
      </c>
      <c r="B8">
        <v>2561.33</v>
      </c>
      <c r="C8">
        <v>87</v>
      </c>
      <c r="D8">
        <v>1.2</v>
      </c>
      <c r="E8">
        <v>96</v>
      </c>
      <c r="F8">
        <v>67</v>
      </c>
      <c r="G8">
        <v>78</v>
      </c>
      <c r="H8">
        <v>72</v>
      </c>
      <c r="I8">
        <v>28</v>
      </c>
      <c r="O8">
        <v>0.4</v>
      </c>
      <c r="P8">
        <f t="shared" si="0"/>
        <v>5</v>
      </c>
      <c r="V8">
        <v>-2.5000000000000001E-3</v>
      </c>
    </row>
    <row r="9" spans="1:22" x14ac:dyDescent="0.25">
      <c r="A9" t="s">
        <v>21</v>
      </c>
      <c r="B9">
        <v>297.38</v>
      </c>
      <c r="C9">
        <v>71</v>
      </c>
      <c r="D9">
        <v>1.9</v>
      </c>
      <c r="E9">
        <v>72</v>
      </c>
      <c r="F9">
        <v>73</v>
      </c>
      <c r="G9">
        <v>89</v>
      </c>
      <c r="H9">
        <v>75</v>
      </c>
      <c r="I9">
        <v>6.38</v>
      </c>
      <c r="V9">
        <v>-9.2999999999999992E-3</v>
      </c>
    </row>
    <row r="10" spans="1:22" x14ac:dyDescent="0.25">
      <c r="A10" t="s">
        <v>22</v>
      </c>
      <c r="B10">
        <v>498.5</v>
      </c>
      <c r="C10">
        <v>91</v>
      </c>
      <c r="D10">
        <v>4.8</v>
      </c>
      <c r="E10">
        <v>91</v>
      </c>
      <c r="F10">
        <v>60</v>
      </c>
      <c r="G10">
        <v>89</v>
      </c>
      <c r="H10">
        <v>82</v>
      </c>
      <c r="I10">
        <v>31.17</v>
      </c>
      <c r="V10">
        <v>-1.9800000000000002E-2</v>
      </c>
    </row>
    <row r="11" spans="1:22" x14ac:dyDescent="0.25">
      <c r="A11" t="s">
        <v>23</v>
      </c>
      <c r="B11">
        <v>305.39999999999998</v>
      </c>
      <c r="C11">
        <v>93</v>
      </c>
      <c r="D11">
        <v>12.2</v>
      </c>
      <c r="E11">
        <v>98</v>
      </c>
      <c r="F11">
        <v>73</v>
      </c>
      <c r="G11">
        <v>100</v>
      </c>
      <c r="H11">
        <v>84</v>
      </c>
      <c r="I11">
        <v>7.8</v>
      </c>
    </row>
    <row r="12" spans="1:22" x14ac:dyDescent="0.25">
      <c r="Q12" t="s">
        <v>35</v>
      </c>
      <c r="R12" t="s">
        <v>36</v>
      </c>
      <c r="S12" t="s">
        <v>37</v>
      </c>
      <c r="T12" t="s">
        <v>38</v>
      </c>
      <c r="U12" t="s">
        <v>39</v>
      </c>
    </row>
    <row r="13" spans="1:22" x14ac:dyDescent="0.25">
      <c r="Q13">
        <v>-4.2799999999999998E-2</v>
      </c>
      <c r="R13">
        <v>-4.5900000000000003E-2</v>
      </c>
      <c r="S13">
        <v>0.107</v>
      </c>
      <c r="T13">
        <v>-9.2999999999999992E-3</v>
      </c>
      <c r="U13">
        <v>9</v>
      </c>
    </row>
    <row r="14" spans="1:22" x14ac:dyDescent="0.25">
      <c r="C14" s="1" t="s">
        <v>24</v>
      </c>
      <c r="D14" s="1"/>
      <c r="E14" s="1"/>
      <c r="F14" s="1"/>
      <c r="G14" s="1"/>
      <c r="H14" s="1"/>
      <c r="Q14">
        <v>8.72E-2</v>
      </c>
      <c r="R14">
        <v>-0.11269999999999999</v>
      </c>
      <c r="S14">
        <v>0.11990000000000001</v>
      </c>
      <c r="T14">
        <v>3.0700000000000002E-2</v>
      </c>
      <c r="U14">
        <v>2</v>
      </c>
    </row>
    <row r="15" spans="1:2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19</v>
      </c>
      <c r="H15" t="s">
        <v>20</v>
      </c>
      <c r="I15" t="s">
        <v>6</v>
      </c>
      <c r="Q15">
        <v>8.4000000000000005E-2</v>
      </c>
      <c r="R15">
        <v>-6.1100000000000002E-2</v>
      </c>
      <c r="S15">
        <v>0.13150000000000001</v>
      </c>
      <c r="T15">
        <v>4.4999999999999998E-2</v>
      </c>
      <c r="U15">
        <v>1</v>
      </c>
    </row>
    <row r="16" spans="1:22" x14ac:dyDescent="0.25">
      <c r="A16" t="s">
        <v>7</v>
      </c>
      <c r="B16">
        <v>0.1898</v>
      </c>
      <c r="C16">
        <v>4.8500000000000001E-2</v>
      </c>
      <c r="D16">
        <v>4.8999999999999998E-3</v>
      </c>
      <c r="E16">
        <v>4.4400000000000002E-2</v>
      </c>
      <c r="F16">
        <v>0.03</v>
      </c>
      <c r="G16">
        <v>0</v>
      </c>
      <c r="H16">
        <v>0.04</v>
      </c>
      <c r="I16">
        <v>0.04</v>
      </c>
      <c r="K16" t="s">
        <v>14</v>
      </c>
      <c r="L16" t="s">
        <v>15</v>
      </c>
      <c r="M16" t="s">
        <v>16</v>
      </c>
      <c r="Q16">
        <v>-9.1499999999999998E-2</v>
      </c>
      <c r="R16">
        <v>-2.7E-2</v>
      </c>
      <c r="S16">
        <v>0.13400000000000001</v>
      </c>
      <c r="T16">
        <v>-1.9800000000000002E-2</v>
      </c>
      <c r="U16">
        <v>10</v>
      </c>
    </row>
    <row r="17" spans="1:21" x14ac:dyDescent="0.25">
      <c r="A17" t="s">
        <v>8</v>
      </c>
      <c r="B17">
        <v>0.17879999999999999</v>
      </c>
      <c r="C17">
        <v>0.16969999999999999</v>
      </c>
      <c r="D17">
        <v>1.9599999999999999E-2</v>
      </c>
      <c r="E17">
        <v>0.15559999999999999</v>
      </c>
      <c r="F17">
        <v>1.0500000000000001E-2</v>
      </c>
      <c r="G17">
        <v>1.4999999999999999E-2</v>
      </c>
      <c r="H17">
        <v>3.56E-2</v>
      </c>
      <c r="I17">
        <v>2.7799999999999998E-2</v>
      </c>
      <c r="K17">
        <v>3.383</v>
      </c>
      <c r="L17">
        <f>(K17)/8*100</f>
        <v>42.287500000000001</v>
      </c>
      <c r="M17">
        <v>42.287500000000001</v>
      </c>
      <c r="Q17">
        <v>0.1724</v>
      </c>
      <c r="R17">
        <v>-0.16320000000000001</v>
      </c>
      <c r="S17">
        <v>-1.18E-2</v>
      </c>
      <c r="T17">
        <v>2.81E-2</v>
      </c>
      <c r="U17">
        <v>4</v>
      </c>
    </row>
    <row r="18" spans="1:21" x14ac:dyDescent="0.25">
      <c r="A18" t="s">
        <v>9</v>
      </c>
      <c r="B18">
        <v>0.19120000000000001</v>
      </c>
      <c r="C18">
        <v>0.1394</v>
      </c>
      <c r="D18">
        <v>1.15E-2</v>
      </c>
      <c r="E18">
        <v>0.1333</v>
      </c>
      <c r="F18">
        <v>0</v>
      </c>
      <c r="G18">
        <v>1.4999999999999999E-2</v>
      </c>
      <c r="H18">
        <v>0</v>
      </c>
      <c r="I18">
        <v>0</v>
      </c>
      <c r="K18">
        <v>2.0842999999999998</v>
      </c>
      <c r="L18">
        <f t="shared" ref="L18:L24" si="1">(K18)/8*100</f>
        <v>26.053749999999997</v>
      </c>
      <c r="M18">
        <f>SUM(L17:L18)</f>
        <v>68.341250000000002</v>
      </c>
      <c r="Q18">
        <v>1.6400000000000001E-2</v>
      </c>
      <c r="R18">
        <v>-7.6799999999999993E-2</v>
      </c>
      <c r="S18">
        <v>7.8100000000000003E-2</v>
      </c>
      <c r="T18">
        <v>2E-3</v>
      </c>
      <c r="U18">
        <v>7</v>
      </c>
    </row>
    <row r="19" spans="1:21" x14ac:dyDescent="0.25">
      <c r="A19" t="s">
        <v>10</v>
      </c>
      <c r="B19">
        <v>0.2</v>
      </c>
      <c r="C19">
        <v>0</v>
      </c>
      <c r="D19">
        <v>3.5999999999999997E-2</v>
      </c>
      <c r="E19">
        <v>0</v>
      </c>
      <c r="F19">
        <v>0.03</v>
      </c>
      <c r="G19">
        <v>0</v>
      </c>
      <c r="H19">
        <v>0.04</v>
      </c>
      <c r="I19">
        <v>3.4799999999999998E-2</v>
      </c>
      <c r="K19">
        <v>1.5469999999999999</v>
      </c>
      <c r="L19">
        <f t="shared" si="1"/>
        <v>19.337499999999999</v>
      </c>
      <c r="M19">
        <f>SUM(L17:L19)</f>
        <v>87.678750000000008</v>
      </c>
      <c r="Q19">
        <v>0.11940000000000001</v>
      </c>
      <c r="R19">
        <v>-0.11219999999999999</v>
      </c>
      <c r="S19">
        <v>2.1899999999999999E-2</v>
      </c>
      <c r="T19">
        <v>2.5499999999999998E-2</v>
      </c>
      <c r="U19">
        <v>6</v>
      </c>
    </row>
    <row r="20" spans="1:21" x14ac:dyDescent="0.25">
      <c r="A20" t="s">
        <v>11</v>
      </c>
      <c r="B20">
        <v>0</v>
      </c>
      <c r="C20">
        <v>0.2</v>
      </c>
      <c r="D20">
        <v>1.1000000000000001E-3</v>
      </c>
      <c r="E20">
        <v>0.2</v>
      </c>
      <c r="F20">
        <v>2.1000000000000001E-2</v>
      </c>
      <c r="G20">
        <v>0.03</v>
      </c>
      <c r="H20">
        <v>2.4400000000000002E-2</v>
      </c>
      <c r="I20">
        <v>3.8300000000000001E-2</v>
      </c>
      <c r="K20">
        <v>0.48420000000000002</v>
      </c>
      <c r="L20">
        <f t="shared" si="1"/>
        <v>6.0525000000000002</v>
      </c>
      <c r="M20">
        <f>SUM(L17:L20)</f>
        <v>93.731250000000003</v>
      </c>
      <c r="Q20">
        <v>-2.8199999999999999E-2</v>
      </c>
      <c r="R20">
        <v>-4.3799999999999999E-2</v>
      </c>
      <c r="S20">
        <v>0.1077</v>
      </c>
      <c r="T20">
        <v>-2.5000000000000001E-3</v>
      </c>
      <c r="U20">
        <v>8</v>
      </c>
    </row>
    <row r="21" spans="1:21" x14ac:dyDescent="0.25">
      <c r="A21" t="s">
        <v>12</v>
      </c>
      <c r="B21">
        <v>0.13189999999999999</v>
      </c>
      <c r="C21">
        <v>9.0899999999999995E-2</v>
      </c>
      <c r="D21">
        <v>1.2500000000000001E-2</v>
      </c>
      <c r="E21">
        <v>8.8900000000000007E-2</v>
      </c>
      <c r="F21">
        <v>0.03</v>
      </c>
      <c r="G21">
        <v>0</v>
      </c>
      <c r="H21">
        <v>0.04</v>
      </c>
      <c r="I21">
        <v>2.8000000000000001E-2</v>
      </c>
      <c r="K21">
        <v>0.30819999999999997</v>
      </c>
      <c r="L21">
        <f t="shared" si="1"/>
        <v>3.8524999999999996</v>
      </c>
      <c r="M21">
        <f>SUM(L17:L21)</f>
        <v>97.583750000000009</v>
      </c>
      <c r="Q21">
        <v>8.72E-2</v>
      </c>
      <c r="R21">
        <v>-0.11269999999999999</v>
      </c>
      <c r="S21">
        <v>0.11990000000000001</v>
      </c>
      <c r="T21">
        <v>3.0200000000000001E-2</v>
      </c>
      <c r="U21">
        <v>3</v>
      </c>
    </row>
    <row r="22" spans="1:21" x14ac:dyDescent="0.25">
      <c r="A22" t="s">
        <v>13</v>
      </c>
      <c r="B22">
        <v>6.0299999999999999E-2</v>
      </c>
      <c r="C22">
        <v>0.14549999999999999</v>
      </c>
      <c r="D22">
        <v>0</v>
      </c>
      <c r="E22">
        <v>0.18329999999999999</v>
      </c>
      <c r="F22">
        <v>2.1000000000000001E-2</v>
      </c>
      <c r="G22">
        <v>0</v>
      </c>
      <c r="H22">
        <v>1.3299999999999999E-2</v>
      </c>
      <c r="I22">
        <v>2.9100000000000001E-2</v>
      </c>
      <c r="K22">
        <v>0.13089999999999999</v>
      </c>
      <c r="L22">
        <f t="shared" si="1"/>
        <v>1.6362499999999998</v>
      </c>
      <c r="M22">
        <f>SUM(L17:L22)</f>
        <v>99.220000000000013</v>
      </c>
      <c r="Q22">
        <v>9.6799999999999997E-2</v>
      </c>
      <c r="R22">
        <v>-0.16</v>
      </c>
      <c r="S22">
        <v>0.14419999999999999</v>
      </c>
      <c r="T22">
        <v>2.7099999999999999E-2</v>
      </c>
      <c r="U22">
        <v>5</v>
      </c>
    </row>
    <row r="23" spans="1:21" x14ac:dyDescent="0.25">
      <c r="A23" t="s">
        <v>21</v>
      </c>
      <c r="B23">
        <v>0.19040000000000001</v>
      </c>
      <c r="C23">
        <v>4.8500000000000001E-2</v>
      </c>
      <c r="D23">
        <v>3.8E-3</v>
      </c>
      <c r="E23">
        <v>0.05</v>
      </c>
      <c r="F23">
        <v>0.03</v>
      </c>
      <c r="G23">
        <v>1.4999999999999999E-2</v>
      </c>
      <c r="H23">
        <v>0.02</v>
      </c>
      <c r="I23">
        <v>3.8300000000000001E-2</v>
      </c>
      <c r="K23">
        <v>6.0499999999999998E-2</v>
      </c>
      <c r="L23">
        <f t="shared" si="1"/>
        <v>0.75624999999999998</v>
      </c>
      <c r="M23">
        <f>SUM(L17:L23)</f>
        <v>99.976250000000007</v>
      </c>
    </row>
    <row r="24" spans="1:21" x14ac:dyDescent="0.25">
      <c r="A24" t="s">
        <v>22</v>
      </c>
      <c r="B24">
        <v>0.17879999999999999</v>
      </c>
      <c r="C24">
        <v>0.16969999999999999</v>
      </c>
      <c r="D24">
        <v>1.9599999999999999E-2</v>
      </c>
      <c r="E24">
        <v>0.15559999999999999</v>
      </c>
      <c r="F24">
        <v>1.0500000000000001E-2</v>
      </c>
      <c r="G24">
        <v>1.4999999999999999E-2</v>
      </c>
      <c r="H24">
        <v>3.56E-2</v>
      </c>
      <c r="I24">
        <v>2.7799999999999998E-2</v>
      </c>
      <c r="K24">
        <v>1.9E-3</v>
      </c>
      <c r="L24">
        <f t="shared" si="1"/>
        <v>2.375E-2</v>
      </c>
      <c r="M24">
        <f>SUM(L17:L24)</f>
        <v>100.00000000000001</v>
      </c>
    </row>
    <row r="25" spans="1:21" x14ac:dyDescent="0.25">
      <c r="A25" t="s">
        <v>23</v>
      </c>
      <c r="B25">
        <v>0.18990000000000001</v>
      </c>
      <c r="C25">
        <v>0.18179999999999999</v>
      </c>
      <c r="D25">
        <v>0.06</v>
      </c>
      <c r="E25">
        <v>0.19439999999999999</v>
      </c>
      <c r="F25">
        <v>0.03</v>
      </c>
      <c r="G25">
        <v>0.03</v>
      </c>
      <c r="H25">
        <v>0.04</v>
      </c>
      <c r="I25">
        <v>3.7699999999999997E-2</v>
      </c>
    </row>
    <row r="27" spans="1:21" x14ac:dyDescent="0.25">
      <c r="D27" s="1" t="s">
        <v>25</v>
      </c>
      <c r="E27" s="1"/>
      <c r="F27" s="1"/>
      <c r="G27" s="1"/>
      <c r="N27" s="1" t="s">
        <v>34</v>
      </c>
      <c r="O27" s="1"/>
      <c r="P27" s="1"/>
      <c r="Q27" s="1"/>
    </row>
    <row r="28" spans="1:21" x14ac:dyDescent="0.25"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M28">
        <v>-0.26</v>
      </c>
      <c r="N28">
        <v>0.48099999999999998</v>
      </c>
      <c r="O28">
        <v>-0.10340000000000001</v>
      </c>
      <c r="P28">
        <v>0.47249999999999998</v>
      </c>
      <c r="Q28">
        <v>-0.41010000000000002</v>
      </c>
      <c r="R28">
        <v>0.32169999999999999</v>
      </c>
      <c r="S28">
        <v>-0.33579999999999999</v>
      </c>
      <c r="T28">
        <v>-0.28749999999999998</v>
      </c>
    </row>
    <row r="29" spans="1:21" x14ac:dyDescent="0.25">
      <c r="A29" t="s">
        <v>26</v>
      </c>
      <c r="B29">
        <v>1</v>
      </c>
      <c r="C29">
        <v>0.46529999999999999</v>
      </c>
      <c r="D29">
        <v>-0.48799999999999999</v>
      </c>
      <c r="E29">
        <v>-0.54320000000000002</v>
      </c>
      <c r="F29">
        <v>-1.5800000000000002E-2</v>
      </c>
      <c r="G29">
        <v>-0.18629999999999999</v>
      </c>
      <c r="H29">
        <v>0.25030000000000002</v>
      </c>
      <c r="I29">
        <v>-0.1696</v>
      </c>
      <c r="M29">
        <v>0.14749999999999999</v>
      </c>
      <c r="N29">
        <v>-0.28649999999999998</v>
      </c>
      <c r="O29">
        <v>-0.38290000000000002</v>
      </c>
      <c r="P29">
        <v>-0.29139999999999999</v>
      </c>
      <c r="Q29">
        <v>-0.30880000000000002</v>
      </c>
      <c r="R29">
        <v>-0.40649999999999997</v>
      </c>
      <c r="S29">
        <v>-0.42309999999999998</v>
      </c>
      <c r="T29">
        <v>-0.47439999999999999</v>
      </c>
    </row>
    <row r="30" spans="1:21" x14ac:dyDescent="0.25">
      <c r="A30" t="s">
        <v>27</v>
      </c>
      <c r="B30">
        <v>0.46529999999999999</v>
      </c>
      <c r="C30">
        <v>1</v>
      </c>
      <c r="D30">
        <v>6.6799999999999998E-2</v>
      </c>
      <c r="E30">
        <v>0.97689999999999999</v>
      </c>
      <c r="F30">
        <v>-0.52859999999999996</v>
      </c>
      <c r="G30">
        <v>0.69520000000000004</v>
      </c>
      <c r="H30">
        <v>-0.2077</v>
      </c>
      <c r="I30">
        <v>-0.2102</v>
      </c>
      <c r="M30">
        <v>0.64259999999999995</v>
      </c>
      <c r="N30">
        <v>3.3099999999999997E-2</v>
      </c>
      <c r="O30">
        <v>0.59419999999999995</v>
      </c>
      <c r="P30">
        <v>-4.0500000000000001E-2</v>
      </c>
      <c r="Q30">
        <v>-0.27560000000000001</v>
      </c>
      <c r="R30">
        <v>0.17510000000000001</v>
      </c>
      <c r="S30">
        <v>0.1033</v>
      </c>
      <c r="T30">
        <v>-0.33760000000000001</v>
      </c>
    </row>
    <row r="31" spans="1:21" x14ac:dyDescent="0.25">
      <c r="A31" t="s">
        <v>28</v>
      </c>
      <c r="B31">
        <v>-0.48799999999999999</v>
      </c>
      <c r="C31">
        <v>6.6799999999999998E-2</v>
      </c>
      <c r="D31">
        <v>1</v>
      </c>
      <c r="E31">
        <v>5.5800000000000002E-2</v>
      </c>
      <c r="F31">
        <v>0.19239999999999999</v>
      </c>
      <c r="G31">
        <v>0.31280000000000002</v>
      </c>
      <c r="H31">
        <v>0.4909</v>
      </c>
      <c r="I31">
        <v>0.1212</v>
      </c>
    </row>
    <row r="32" spans="1:21" x14ac:dyDescent="0.25">
      <c r="A32" t="s">
        <v>29</v>
      </c>
      <c r="B32">
        <v>-0.54320000000000002</v>
      </c>
      <c r="C32">
        <v>0.97689999999999999</v>
      </c>
      <c r="D32">
        <v>5.5800000000000002E-2</v>
      </c>
      <c r="E32">
        <v>1</v>
      </c>
      <c r="F32">
        <v>-0.43909999999999999</v>
      </c>
      <c r="G32">
        <v>0.63790000000000002</v>
      </c>
      <c r="H32">
        <v>-0.26200000000000001</v>
      </c>
      <c r="I32">
        <v>-0.16489999999999999</v>
      </c>
    </row>
    <row r="33" spans="1:9" x14ac:dyDescent="0.25">
      <c r="A33" t="s">
        <v>30</v>
      </c>
      <c r="B33">
        <v>-1.5800000000000002E-2</v>
      </c>
      <c r="C33">
        <v>-0.52859999999999996</v>
      </c>
      <c r="D33">
        <v>0.19239999999999999</v>
      </c>
      <c r="E33">
        <v>-0.43909999999999999</v>
      </c>
      <c r="F33">
        <v>1</v>
      </c>
      <c r="G33">
        <v>-0.22520000000000001</v>
      </c>
      <c r="H33">
        <v>0.57479999999999998</v>
      </c>
      <c r="I33">
        <v>0.81499999999999995</v>
      </c>
    </row>
    <row r="34" spans="1:9" x14ac:dyDescent="0.25">
      <c r="A34" t="s">
        <v>31</v>
      </c>
      <c r="B34">
        <v>-0.18629999999999999</v>
      </c>
      <c r="C34">
        <v>0.69520000000000004</v>
      </c>
      <c r="D34">
        <v>0.31280000000000002</v>
      </c>
      <c r="E34">
        <v>0.63790000000000002</v>
      </c>
      <c r="F34">
        <v>-0.22520000000000001</v>
      </c>
      <c r="G34">
        <v>1</v>
      </c>
      <c r="H34">
        <v>-0.112</v>
      </c>
      <c r="I34">
        <v>5.3400000000000003E-2</v>
      </c>
    </row>
    <row r="35" spans="1:9" x14ac:dyDescent="0.25">
      <c r="A35" t="s">
        <v>32</v>
      </c>
      <c r="B35">
        <v>0.25030000000000002</v>
      </c>
      <c r="C35">
        <v>-0.2077</v>
      </c>
      <c r="D35">
        <v>0.4909</v>
      </c>
      <c r="E35">
        <v>-0.26200000000000001</v>
      </c>
      <c r="F35">
        <v>0.57479999999999998</v>
      </c>
      <c r="G35">
        <v>-0.112</v>
      </c>
      <c r="H35">
        <v>1</v>
      </c>
      <c r="I35">
        <v>0.65680000000000005</v>
      </c>
    </row>
    <row r="36" spans="1:9" x14ac:dyDescent="0.25">
      <c r="A36" t="s">
        <v>33</v>
      </c>
      <c r="B36">
        <v>-0.1696</v>
      </c>
      <c r="C36">
        <v>-0.2102</v>
      </c>
      <c r="D36">
        <v>0.1212</v>
      </c>
      <c r="E36">
        <v>-0.16489999999999999</v>
      </c>
      <c r="F36">
        <v>0.81499999999999995</v>
      </c>
      <c r="G36">
        <v>5.3400000000000003E-2</v>
      </c>
      <c r="H36">
        <v>0.65680000000000005</v>
      </c>
      <c r="I36">
        <v>1</v>
      </c>
    </row>
  </sheetData>
  <sortState ref="V1:V10">
    <sortCondition descending="1" ref="V1"/>
  </sortState>
  <mergeCells count="3">
    <mergeCell ref="C14:H14"/>
    <mergeCell ref="D27:G27"/>
    <mergeCell ref="N27:Q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"/>
  <sheetViews>
    <sheetView tabSelected="1" workbookViewId="0">
      <selection activeCell="E9" sqref="E9:I9"/>
    </sheetView>
  </sheetViews>
  <sheetFormatPr defaultRowHeight="15" x14ac:dyDescent="0.25"/>
  <sheetData>
    <row r="2" spans="2:9" x14ac:dyDescent="0.25">
      <c r="B2">
        <v>-0.26</v>
      </c>
      <c r="C2">
        <v>0.14749999999999999</v>
      </c>
      <c r="D2">
        <v>0.64259999999999995</v>
      </c>
      <c r="E2">
        <v>0.11609999999999999</v>
      </c>
      <c r="F2">
        <v>-0.33350000000000002</v>
      </c>
      <c r="G2">
        <v>0.58099999999999996</v>
      </c>
      <c r="H2">
        <v>0.18770000000000001</v>
      </c>
      <c r="I2">
        <v>1.5800000000000002E-2</v>
      </c>
    </row>
    <row r="3" spans="2:9" x14ac:dyDescent="0.25">
      <c r="B3">
        <v>0.48099999999999998</v>
      </c>
      <c r="C3">
        <v>-0.28649999999999998</v>
      </c>
      <c r="D3">
        <v>3.3099999999999997E-2</v>
      </c>
      <c r="E3">
        <v>-0.26290000000000002</v>
      </c>
      <c r="F3">
        <v>-0.1</v>
      </c>
      <c r="G3">
        <v>0.1993</v>
      </c>
      <c r="H3">
        <v>0.2074</v>
      </c>
      <c r="I3">
        <v>-0.72360000000000002</v>
      </c>
    </row>
    <row r="4" spans="2:9" x14ac:dyDescent="0.25">
      <c r="B4">
        <v>-0.10340000000000001</v>
      </c>
      <c r="C4">
        <v>-0.38290000000000002</v>
      </c>
      <c r="D4">
        <v>0.59419999999999995</v>
      </c>
      <c r="E4">
        <v>-1.7899999999999999E-2</v>
      </c>
      <c r="F4">
        <v>0.57189999999999996</v>
      </c>
      <c r="G4">
        <v>-0.15670000000000001</v>
      </c>
      <c r="H4">
        <v>-0.35520000000000002</v>
      </c>
      <c r="I4">
        <v>-0.1074</v>
      </c>
    </row>
    <row r="5" spans="2:9" x14ac:dyDescent="0.25">
      <c r="B5">
        <v>0.47249999999999998</v>
      </c>
      <c r="C5">
        <v>-0.29139999999999999</v>
      </c>
      <c r="D5">
        <v>-4.0500000000000001E-2</v>
      </c>
      <c r="E5">
        <v>-0.23180000000000001</v>
      </c>
      <c r="F5">
        <v>0.19339999999999999</v>
      </c>
      <c r="G5">
        <v>0.4572</v>
      </c>
      <c r="H5">
        <v>4.1700000000000001E-2</v>
      </c>
      <c r="I5">
        <v>0.623</v>
      </c>
    </row>
    <row r="6" spans="2:9" x14ac:dyDescent="0.25">
      <c r="B6">
        <v>-0.41010000000000002</v>
      </c>
      <c r="C6">
        <v>-0.30880000000000002</v>
      </c>
      <c r="D6">
        <v>-0.27560000000000001</v>
      </c>
      <c r="E6">
        <v>0.2472</v>
      </c>
      <c r="F6">
        <v>0.42959999999999998</v>
      </c>
      <c r="G6">
        <v>0.20349999999999999</v>
      </c>
      <c r="H6">
        <v>0.60550000000000004</v>
      </c>
      <c r="I6">
        <v>-8.2500000000000004E-2</v>
      </c>
    </row>
    <row r="7" spans="2:9" x14ac:dyDescent="0.25">
      <c r="B7">
        <v>0.32169999999999999</v>
      </c>
      <c r="C7">
        <v>-0.40649999999999997</v>
      </c>
      <c r="D7">
        <v>0.17510000000000001</v>
      </c>
      <c r="E7">
        <v>0.65820000000000001</v>
      </c>
      <c r="F7">
        <v>-0.32390000000000002</v>
      </c>
      <c r="G7">
        <v>-0.32679999999999998</v>
      </c>
      <c r="H7">
        <v>0.1817</v>
      </c>
      <c r="I7">
        <v>0.15049999999999999</v>
      </c>
    </row>
    <row r="8" spans="2:9" x14ac:dyDescent="0.25">
      <c r="B8">
        <v>-0.33579999999999999</v>
      </c>
      <c r="C8">
        <v>-0.42309999999999998</v>
      </c>
      <c r="D8">
        <v>0.1033</v>
      </c>
      <c r="E8">
        <v>-0.58819999999999995</v>
      </c>
      <c r="F8">
        <v>-0.37230000000000002</v>
      </c>
      <c r="G8">
        <v>-0.33850000000000002</v>
      </c>
      <c r="H8">
        <v>0.248</v>
      </c>
      <c r="I8">
        <v>0.192</v>
      </c>
    </row>
    <row r="9" spans="2:9" x14ac:dyDescent="0.25">
      <c r="B9">
        <v>-0.28749999999999998</v>
      </c>
      <c r="C9">
        <v>-0.47439999999999999</v>
      </c>
      <c r="D9">
        <v>-0.33760000000000001</v>
      </c>
      <c r="E9">
        <v>0.15140000000000001</v>
      </c>
      <c r="F9">
        <v>-0.29380000000000001</v>
      </c>
      <c r="G9">
        <v>0.35539999999999999</v>
      </c>
      <c r="H9">
        <v>-0.57679999999999998</v>
      </c>
      <c r="I9">
        <v>-0.10050000000000001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2018-06-11T17:49:59Z</dcterms:created>
  <dcterms:modified xsi:type="dcterms:W3CDTF">2018-07-05T06:42:13Z</dcterms:modified>
</cp:coreProperties>
</file>