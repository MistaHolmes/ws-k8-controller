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kesh\Google Drive\4 sci paper\Journal of Computational Science\"/>
    </mc:Choice>
  </mc:AlternateContent>
  <bookViews>
    <workbookView xWindow="0" yWindow="0" windowWidth="20730" windowHeight="9735" activeTab="4"/>
  </bookViews>
  <sheets>
    <sheet name="Sheet1" sheetId="1" r:id="rId1"/>
    <sheet name="Sheet2" sheetId="2" r:id="rId2"/>
    <sheet name="Sheet3" sheetId="3" r:id="rId3"/>
    <sheet name="fig2" sheetId="4" r:id="rId4"/>
    <sheet name="Sheet4" sheetId="5" r:id="rId5"/>
    <sheet name="Sheet5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M13" i="1" l="1"/>
  <c r="K12" i="1"/>
  <c r="K13" i="1" s="1"/>
  <c r="L12" i="1"/>
  <c r="L13" i="1" s="1"/>
  <c r="M12" i="1"/>
  <c r="N12" i="1"/>
  <c r="N13" i="1" s="1"/>
  <c r="J12" i="1"/>
  <c r="J13" i="1" s="1"/>
  <c r="O13" i="1" l="1"/>
</calcChain>
</file>

<file path=xl/sharedStrings.xml><?xml version="1.0" encoding="utf-8"?>
<sst xmlns="http://schemas.openxmlformats.org/spreadsheetml/2006/main" count="201" uniqueCount="91">
  <si>
    <t>rate/base</t>
  </si>
  <si>
    <t>Gb/s</t>
  </si>
  <si>
    <t>KB/Sec</t>
  </si>
  <si>
    <t>Percentage</t>
  </si>
  <si>
    <t>Dollar</t>
  </si>
  <si>
    <t>CSP</t>
  </si>
  <si>
    <t>CPU Performance</t>
  </si>
  <si>
    <t>Memory Performance</t>
  </si>
  <si>
    <t>Disk Performance</t>
  </si>
  <si>
    <t>Disk I/O Consistency</t>
  </si>
  <si>
    <t>CSP1</t>
  </si>
  <si>
    <t>CSP2</t>
  </si>
  <si>
    <t>CSP3</t>
  </si>
  <si>
    <t>CSP4</t>
  </si>
  <si>
    <t>CSP5</t>
  </si>
  <si>
    <t>CSP6</t>
  </si>
  <si>
    <t>CSP7</t>
  </si>
  <si>
    <t>CSP8</t>
  </si>
  <si>
    <t>CSP9</t>
  </si>
  <si>
    <t>CSP10</t>
  </si>
  <si>
    <t>Price</t>
  </si>
  <si>
    <t>CSP11</t>
  </si>
  <si>
    <t>pis</t>
  </si>
  <si>
    <t>nis</t>
  </si>
  <si>
    <t>Cci</t>
  </si>
  <si>
    <t>positive</t>
  </si>
  <si>
    <t>negative</t>
  </si>
  <si>
    <t>ahp</t>
  </si>
  <si>
    <t>Weighted normalized matrix</t>
  </si>
  <si>
    <t>Normalized Matrix</t>
  </si>
  <si>
    <t>CCI</t>
  </si>
  <si>
    <t>MAIN</t>
  </si>
  <si>
    <t>C1-C2</t>
  </si>
  <si>
    <t>C1-C4</t>
  </si>
  <si>
    <t>C2-C4</t>
  </si>
  <si>
    <t>C3-C4</t>
  </si>
  <si>
    <t>C1-C3</t>
  </si>
  <si>
    <t>C1-C5</t>
  </si>
  <si>
    <t>C2-C3</t>
  </si>
  <si>
    <t>C2-C5</t>
  </si>
  <si>
    <t>C3-C5</t>
  </si>
  <si>
    <t>C4-C5</t>
  </si>
  <si>
    <t>AHP</t>
  </si>
  <si>
    <t>Proposed Method</t>
  </si>
  <si>
    <t>Fuzzy AHP</t>
  </si>
  <si>
    <t>cr=0.0789</t>
  </si>
  <si>
    <t>ci=0.0883</t>
  </si>
  <si>
    <t>Proposed</t>
  </si>
  <si>
    <t>AHP_TOPSIS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</si>
  <si>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</si>
  <si>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</si>
  <si>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</si>
  <si>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</si>
  <si>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</si>
  <si>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</si>
  <si>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</si>
  <si>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</si>
  <si>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Principal Component</t>
  </si>
  <si>
    <t>No of QoS attributes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</si>
  <si>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</si>
  <si>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</si>
  <si>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</si>
  <si>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</si>
  <si>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</si>
  <si>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</si>
  <si>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</si>
  <si>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</si>
  <si>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</si>
  <si>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</si>
  <si>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</si>
  <si>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</si>
  <si>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</si>
  <si>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</si>
  <si>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</si>
  <si>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1st &amp; 3.383 &amp; 42.2875 &amp; 42.2875  \\</t>
  </si>
  <si>
    <t xml:space="preserve"> </t>
  </si>
  <si>
    <t>2nd &amp; 2.0843 &amp; 26.05375 &amp; 68.34125  \\</t>
  </si>
  <si>
    <t>3rd &amp; 1.547 &amp; 19.3375 &amp; 87.67875   \\</t>
  </si>
  <si>
    <t>4th &amp; 0.4842 &amp; 6.0525 &amp; 93.73125 \\</t>
  </si>
  <si>
    <t>5th &amp; 0.3082 &amp; 3.8525 &amp; 97.73125  \\</t>
  </si>
  <si>
    <t>6th &amp; 0.1309 &amp; 1.63625 &amp; 99.22  \\</t>
  </si>
  <si>
    <t xml:space="preserve">    7th &amp; 0.0605 &amp; 0.75625 &amp; 99.97625   \\</t>
  </si>
  <si>
    <t xml:space="preserve">8th &amp; 0.0019 &amp; 0.02375 &amp; 100   </t>
  </si>
  <si>
    <t>PC1</t>
  </si>
  <si>
    <t>PC2</t>
  </si>
  <si>
    <t>PC3</t>
  </si>
  <si>
    <t>PC4</t>
  </si>
  <si>
    <t>PC5</t>
  </si>
  <si>
    <t>PC6</t>
  </si>
  <si>
    <t>PC7</t>
  </si>
  <si>
    <t>PC8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</si>
</sst>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MR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Sheet2!$E$21</c:f>
              <c:strCache>
                <c:ptCount val="1"/>
                <c:pt idx="0">
                  <c:v>CSP1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Sheet2!$E$22:$E$36</c:f>
              <c:numCache>
                <c:formatCode>General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</c:ser>
        <c:ser>
          <c:idx val="1"/>
          <c:order val="1"/>
          <c:tx>
            <c:strRef>
              <c:f>Sheet2!$F$21</c:f>
              <c:strCache>
                <c:ptCount val="1"/>
                <c:pt idx="0">
                  <c:v>CSP2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Sheet2!$F$22:$F$36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Sheet2!$G$21</c:f>
              <c:strCache>
                <c:ptCount val="1"/>
                <c:pt idx="0">
                  <c:v>CSP3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Sheet2!$G$22:$G$36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</c:ser>
        <c:ser>
          <c:idx val="3"/>
          <c:order val="3"/>
          <c:tx>
            <c:strRef>
              <c:f>Sheet2!$H$21</c:f>
              <c:strCache>
                <c:ptCount val="1"/>
                <c:pt idx="0">
                  <c:v>CSP4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Sheet2!$H$22:$H$36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Sheet2!$I$21</c:f>
              <c:strCache>
                <c:ptCount val="1"/>
                <c:pt idx="0">
                  <c:v>CSP5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Sheet2!$I$22:$I$36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</c:ser>
        <c:ser>
          <c:idx val="5"/>
          <c:order val="5"/>
          <c:tx>
            <c:strRef>
              <c:f>Sheet2!$J$21</c:f>
              <c:strCache>
                <c:ptCount val="1"/>
                <c:pt idx="0">
                  <c:v>CSP6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Sheet2!$J$22:$J$36</c:f>
              <c:numCache>
                <c:formatCode>General</c:formatCode>
                <c:ptCount val="15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ser>
          <c:idx val="6"/>
          <c:order val="6"/>
          <c:tx>
            <c:strRef>
              <c:f>Sheet2!$K$21</c:f>
              <c:strCache>
                <c:ptCount val="1"/>
                <c:pt idx="0">
                  <c:v>CSP7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Sheet2!$K$22:$K$36</c:f>
              <c:numCache>
                <c:formatCode>General</c:formatCode>
                <c:ptCount val="1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ser>
          <c:idx val="7"/>
          <c:order val="7"/>
          <c:tx>
            <c:strRef>
              <c:f>Sheet2!$L$21</c:f>
              <c:strCache>
                <c:ptCount val="1"/>
                <c:pt idx="0">
                  <c:v>CSP8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Sheet2!$L$22:$L$36</c:f>
              <c:numCache>
                <c:formatCode>General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</c:ser>
        <c:ser>
          <c:idx val="8"/>
          <c:order val="8"/>
          <c:tx>
            <c:strRef>
              <c:f>Sheet2!$M$21</c:f>
              <c:strCache>
                <c:ptCount val="1"/>
                <c:pt idx="0">
                  <c:v>CSP9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Sheet2!$M$22:$M$36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</c:ser>
        <c:ser>
          <c:idx val="9"/>
          <c:order val="9"/>
          <c:tx>
            <c:strRef>
              <c:f>Sheet2!$N$21</c:f>
              <c:strCache>
                <c:ptCount val="1"/>
                <c:pt idx="0">
                  <c:v>CSP10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Sheet2!$D$22:$D$36</c:f>
              <c:strCache>
                <c:ptCount val="1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  <c:pt idx="10">
                  <c:v>E11</c:v>
                </c:pt>
                <c:pt idx="11">
                  <c:v>E12</c:v>
                </c:pt>
                <c:pt idx="12">
                  <c:v>E13</c:v>
                </c:pt>
                <c:pt idx="13">
                  <c:v>E14</c:v>
                </c:pt>
                <c:pt idx="14">
                  <c:v>E15</c:v>
                </c:pt>
              </c:strCache>
            </c:strRef>
          </c:cat>
          <c:val>
            <c:numRef>
              <c:f>Sheet2!$N$22:$N$36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36750320"/>
        <c:axId val="136755808"/>
      </c:barChart>
      <c:catAx>
        <c:axId val="13675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Experiments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5808"/>
        <c:crosses val="autoZero"/>
        <c:auto val="1"/>
        <c:lblAlgn val="ctr"/>
        <c:lblOffset val="100"/>
        <c:noMultiLvlLbl val="0"/>
      </c:catAx>
      <c:valAx>
        <c:axId val="13675580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Rank of Cloud Service Provider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03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Sheet3!$S$16</c:f>
              <c:strCache>
                <c:ptCount val="1"/>
                <c:pt idx="0">
                  <c:v>Principal Component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Sheet3!$R$17:$R$24</c:f>
              <c:strCache>
                <c:ptCount val="8"/>
                <c:pt idx="0">
                  <c:v>Set 1</c:v>
                </c:pt>
                <c:pt idx="1">
                  <c:v>Set 2</c:v>
                </c:pt>
                <c:pt idx="2">
                  <c:v>Set 3</c:v>
                </c:pt>
                <c:pt idx="3">
                  <c:v>Set 4</c:v>
                </c:pt>
                <c:pt idx="4">
                  <c:v>Set 5</c:v>
                </c:pt>
                <c:pt idx="5">
                  <c:v>Set 6</c:v>
                </c:pt>
                <c:pt idx="6">
                  <c:v>Set 7</c:v>
                </c:pt>
                <c:pt idx="7">
                  <c:v>Set 8</c:v>
                </c:pt>
              </c:strCache>
            </c:strRef>
          </c:xVal>
          <c:yVal>
            <c:numRef>
              <c:f>Sheet3!$S$17:$S$24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Sheet3!$T$16</c:f>
              <c:strCache>
                <c:ptCount val="1"/>
                <c:pt idx="0">
                  <c:v>No of QoS attributes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Sheet3!$R$17:$R$24</c:f>
              <c:strCache>
                <c:ptCount val="8"/>
                <c:pt idx="0">
                  <c:v>Set 1</c:v>
                </c:pt>
                <c:pt idx="1">
                  <c:v>Set 2</c:v>
                </c:pt>
                <c:pt idx="2">
                  <c:v>Set 3</c:v>
                </c:pt>
                <c:pt idx="3">
                  <c:v>Set 4</c:v>
                </c:pt>
                <c:pt idx="4">
                  <c:v>Set 5</c:v>
                </c:pt>
                <c:pt idx="5">
                  <c:v>Set 6</c:v>
                </c:pt>
                <c:pt idx="6">
                  <c:v>Set 7</c:v>
                </c:pt>
                <c:pt idx="7">
                  <c:v>Set 8</c:v>
                </c:pt>
              </c:strCache>
            </c:strRef>
          </c:xVal>
          <c:yVal>
            <c:numRef>
              <c:f>Sheet3!$T$17:$T$24</c:f>
              <c:numCache>
                <c:formatCode>General</c:formatCode>
                <c:ptCount val="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49144"/>
        <c:axId val="136754632"/>
      </c:scatterChart>
      <c:valAx>
        <c:axId val="13674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of Cloud service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632"/>
        <c:crosses val="autoZero"/>
        <c:crossBetween val="midCat"/>
      </c:valAx>
      <c:valAx>
        <c:axId val="13675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QoS attributes for Evalaution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9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'fig2'!$B$7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'fig2'!$C$6:$G$6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'fig2'!$C$7:$G$7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20</c:v>
                </c:pt>
                <c:pt idx="3">
                  <c:v>20</c:v>
                </c:pt>
                <c:pt idx="4">
                  <c:v>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'fig2'!$B$8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'fig2'!$C$6:$G$6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'fig2'!$C$8:$G$8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20</c:v>
                </c:pt>
                <c:pt idx="3">
                  <c:v>21</c:v>
                </c:pt>
                <c:pt idx="4">
                  <c:v>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'fig2'!$B$9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'fig2'!$C$6:$G$6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'fig2'!$C$9:$G$9</c:f>
              <c:numCache>
                <c:formatCode>General</c:formatCode>
                <c:ptCount val="5"/>
                <c:pt idx="0">
                  <c:v>11</c:v>
                </c:pt>
                <c:pt idx="1">
                  <c:v>17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'fig2'!$B$10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'fig2'!$C$6:$G$6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'fig2'!$C$10:$G$10</c:f>
              <c:numCache>
                <c:formatCode>General</c:formatCode>
                <c:ptCount val="5"/>
                <c:pt idx="0">
                  <c:v>10</c:v>
                </c:pt>
                <c:pt idx="1">
                  <c:v>17</c:v>
                </c:pt>
                <c:pt idx="2">
                  <c:v>19</c:v>
                </c:pt>
                <c:pt idx="3">
                  <c:v>21</c:v>
                </c:pt>
                <c:pt idx="4">
                  <c:v>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'fig2'!$B$11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'fig2'!$C$6:$G$6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'fig2'!$C$11:$G$11</c:f>
              <c:numCache>
                <c:formatCode>General</c:formatCode>
                <c:ptCount val="5"/>
                <c:pt idx="0">
                  <c:v>13</c:v>
                </c:pt>
                <c:pt idx="1">
                  <c:v>18</c:v>
                </c:pt>
                <c:pt idx="2">
                  <c:v>21</c:v>
                </c:pt>
                <c:pt idx="3">
                  <c:v>23</c:v>
                </c:pt>
                <c:pt idx="4">
                  <c:v>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'fig2'!$B$12</c:f>
              <c:strCache>
                <c:ptCount val="1"/>
                <c:pt idx="0">
                  <c:v>35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'fig2'!$C$6:$G$6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'fig2'!$C$12:$G$12</c:f>
              <c:numCache>
                <c:formatCode>General</c:formatCode>
                <c:ptCount val="5"/>
                <c:pt idx="0">
                  <c:v>13</c:v>
                </c:pt>
                <c:pt idx="1">
                  <c:v>19</c:v>
                </c:pt>
                <c:pt idx="2">
                  <c:v>23</c:v>
                </c:pt>
                <c:pt idx="3">
                  <c:v>24</c:v>
                </c:pt>
                <c:pt idx="4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36748360"/>
        <c:axId val="136751496"/>
      </c:lineChart>
      <c:catAx>
        <c:axId val="136748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QoS criteria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1496"/>
        <c:crosses val="autoZero"/>
        <c:auto val="1"/>
        <c:lblAlgn val="ctr"/>
        <c:lblOffset val="100"/>
        <c:noMultiLvlLbl val="0"/>
      </c:catAx>
      <c:valAx>
        <c:axId val="1367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 Cost (millisecond)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chemeClr val="tx1"/>
          </a:solidFill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Sheet4!$E$7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Sheet4!$D$8:$D$12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Sheet4!$E$8:$E$12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1"/>
          <c:order val="1"/>
          <c:tx>
            <c:strRef>
              <c:f>Sheet4!$F$7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Sheet4!$D$8:$D$12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Sheet4!$F$8:$F$12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2"/>
          <c:order val="2"/>
          <c:tx>
            <c:strRef>
              <c:f>Sheet4!$G$7</c:f>
              <c:strCache>
                <c:ptCount val="1"/>
                <c:pt idx="0">
                  <c:v>Proposed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Sheet4!$D$8:$D$12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Sheet4!$G$8:$G$12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20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Sheet4!$H$7</c:f>
              <c:strCache>
                <c:ptCount val="1"/>
                <c:pt idx="0">
                  <c:v>AHP_TOPSIS</c:v>
                </c:pt>
              </c:strCache>
            </c:strRef>
          </c:tx>
          <c:cat>
            <c:numRef>
              <c:f>Sheet4!$D$8:$D$12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Sheet4!$H$8:$H$12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22</c:v>
                </c:pt>
                <c:pt idx="4">
                  <c:v>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Sheet4!$I$7</c:f>
              <c:strCache>
                <c:ptCount val="1"/>
                <c:pt idx="0">
                  <c:v>AHP</c:v>
                </c:pt>
              </c:strCache>
            </c:strRef>
          </c:tx>
          <c:cat>
            <c:numRef>
              <c:f>Sheet4!$D$8:$D$12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Sheet4!$I$8:$I$12</c:f>
              <c:numCache>
                <c:formatCode>General</c:formatCode>
                <c:ptCount val="5"/>
                <c:pt idx="0">
                  <c:v>17</c:v>
                </c:pt>
                <c:pt idx="1">
                  <c:v>17.5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36749536"/>
        <c:axId val="136751888"/>
      </c:lineChart>
      <c:catAx>
        <c:axId val="13674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Cloud service providers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1888"/>
        <c:crosses val="autoZero"/>
        <c:auto val="1"/>
        <c:lblAlgn val="ctr"/>
        <c:lblOffset val="100"/>
        <c:noMultiLvlLbl val="0"/>
      </c:catAx>
      <c:valAx>
        <c:axId val="1367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 Cost (millisecond)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chemeClr val="tx1"/>
          </a:solidFill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Sheet5!$D$14:$D$21</c:f>
              <c:strCache>
                <c:ptCount val="8"/>
                <c:pt idx="0">
                  <c:v>PC1</c:v>
                </c:pt>
                <c:pt idx="1">
                  <c:v>PC2</c:v>
                </c:pt>
                <c:pt idx="2">
                  <c:v>PC3</c:v>
                </c:pt>
                <c:pt idx="3">
                  <c:v>PC4</c:v>
                </c:pt>
                <c:pt idx="4">
                  <c:v>PC5</c:v>
                </c:pt>
                <c:pt idx="5">
                  <c:v>PC6</c:v>
                </c:pt>
                <c:pt idx="6">
                  <c:v>PC7</c:v>
                </c:pt>
                <c:pt idx="7">
                  <c:v>PC8</c:v>
                </c:pt>
              </c:strCache>
            </c:strRef>
          </c:cat>
          <c:val>
            <c:numRef>
              <c:f>Sheet5!$E$14:$E$21</c:f>
              <c:numCache>
                <c:formatCode>General</c:formatCode>
                <c:ptCount val="8"/>
                <c:pt idx="0">
                  <c:v>3.383</c:v>
                </c:pt>
                <c:pt idx="1">
                  <c:v>2.0840000000000001</c:v>
                </c:pt>
                <c:pt idx="2">
                  <c:v>1.5469999999999999</c:v>
                </c:pt>
                <c:pt idx="3">
                  <c:v>0.48399999999999999</c:v>
                </c:pt>
                <c:pt idx="4">
                  <c:v>0.308</c:v>
                </c:pt>
                <c:pt idx="5">
                  <c:v>0.13</c:v>
                </c:pt>
                <c:pt idx="6">
                  <c:v>0.06</c:v>
                </c:pt>
                <c:pt idx="7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16245664"/>
        <c:axId val="316251544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Sheet5!$D$14:$D$21</c:f>
              <c:strCache>
                <c:ptCount val="8"/>
                <c:pt idx="0">
                  <c:v>PC1</c:v>
                </c:pt>
                <c:pt idx="1">
                  <c:v>PC2</c:v>
                </c:pt>
                <c:pt idx="2">
                  <c:v>PC3</c:v>
                </c:pt>
                <c:pt idx="3">
                  <c:v>PC4</c:v>
                </c:pt>
                <c:pt idx="4">
                  <c:v>PC5</c:v>
                </c:pt>
                <c:pt idx="5">
                  <c:v>PC6</c:v>
                </c:pt>
                <c:pt idx="6">
                  <c:v>PC7</c:v>
                </c:pt>
                <c:pt idx="7">
                  <c:v>PC8</c:v>
                </c:pt>
              </c:strCache>
            </c:strRef>
          </c:cat>
          <c:val>
            <c:numRef>
              <c:f>Sheet5!$F$14:$F$21</c:f>
              <c:numCache>
                <c:formatCode>General</c:formatCode>
                <c:ptCount val="8"/>
                <c:pt idx="0">
                  <c:v>42.287500000000001</c:v>
                </c:pt>
                <c:pt idx="1">
                  <c:v>68.341250000000002</c:v>
                </c:pt>
                <c:pt idx="2">
                  <c:v>87.678749999999994</c:v>
                </c:pt>
                <c:pt idx="3">
                  <c:v>93.731250000000003</c:v>
                </c:pt>
                <c:pt idx="4">
                  <c:v>97.731250000000003</c:v>
                </c:pt>
                <c:pt idx="5">
                  <c:v>99.22</c:v>
                </c:pt>
                <c:pt idx="6">
                  <c:v>99.976249999999993</c:v>
                </c:pt>
                <c:pt idx="7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249976"/>
        <c:axId val="316249584"/>
      </c:lineChart>
      <c:catAx>
        <c:axId val="31624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51544"/>
        <c:crosses val="autoZero"/>
        <c:auto val="1"/>
        <c:lblAlgn val="ctr"/>
        <c:lblOffset val="100"/>
        <c:noMultiLvlLbl val="0"/>
      </c:catAx>
      <c:valAx>
        <c:axId val="31625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45664"/>
        <c:crosses val="autoZero"/>
        <c:crossBetween val="between"/>
      </c:valAx>
      <c:valAx>
        <c:axId val="316249584"/>
        <c:scaling>
          <c:orientation val="minMax"/>
          <c:max val="100"/>
        </c:scaling>
        <c:delete val="0"/>
        <c:axPos val="r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49976"/>
        <c:crosses val="max"/>
        <c:crossBetween val="between"/>
      </c:valAx>
      <c:catAx>
        <c:axId val="316249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6249584"/>
        <c:crossesAt val="0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13</xdr:row>
      <xdr:rowOff>180975</xdr:rowOff>
    </xdr:from>
    <xdr:to>
      <xdr:col>18</xdr:col>
      <xdr:colOff>295275</xdr:colOff>
      <xdr:row>37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447676</xdr:colOff>
      <xdr:row>14</xdr:row>
      <xdr:rowOff>47626</xdr:rowOff>
    </xdr:from>
    <xdr:to>
      <xdr:col>16</xdr:col>
      <xdr:colOff>47626</xdr:colOff>
      <xdr:row>33</xdr:row>
      <xdr:rowOff>166688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16</xdr:row>
      <xdr:rowOff>9525</xdr:rowOff>
    </xdr:from>
    <xdr:to>
      <xdr:col>16</xdr:col>
      <xdr:colOff>219075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9</xdr:row>
      <xdr:rowOff>0</xdr:rowOff>
    </xdr:from>
    <xdr:to>
      <xdr:col>21</xdr:col>
      <xdr:colOff>66675</xdr:colOff>
      <xdr:row>32</xdr:row>
      <xdr:rowOff>19051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5</xdr:row>
      <xdr:rowOff>57150</xdr:rowOff>
    </xdr:from>
    <xdr:to>
      <xdr:col>17</xdr:col>
      <xdr:colOff>271462</xdr:colOff>
      <xdr:row>20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50"/>
  <sheetViews>
    <sheetView topLeftCell="E4" workbookViewId="0">
      <selection activeCell="P16" sqref="P16"/>
    </sheetView>
  </sheetViews>
  <sheetFormatPr defaultRowHeight="15"/>
  <cols>
    <col min="1" max="1" width="9" customWidth="1"/>
    <col min="2" max="2" width="16.5703125" bestFit="1" customWidth="1"/>
    <col min="3" max="3" width="19.28515625" bestFit="1" customWidth="1"/>
    <col min="4" max="4" width="16.7109375" bestFit="1" customWidth="1"/>
    <col min="5" max="5" width="20.5703125" bestFit="1" customWidth="1"/>
    <col min="6" max="6" width="15.5703125" bestFit="1" customWidth="1"/>
    <col min="9" max="9" width="20.5703125" bestFit="1" customWidth="1"/>
    <col min="10" max="10" width="16.5703125" bestFit="1" customWidth="1"/>
    <col min="11" max="11" width="19.28515625" bestFit="1" customWidth="1"/>
    <col min="12" max="12" width="16.7109375" bestFit="1" customWidth="1"/>
    <col min="13" max="13" width="20.5703125" bestFit="1" customWidth="1"/>
  </cols>
  <sheetData>
    <row r="5" spans="1:16">
      <c r="B5" t="s">
        <v>0</v>
      </c>
      <c r="C5" t="s">
        <v>3</v>
      </c>
      <c r="D5" t="s">
        <v>2</v>
      </c>
      <c r="E5" t="s">
        <v>1</v>
      </c>
      <c r="F5" t="s">
        <v>4</v>
      </c>
    </row>
    <row r="6" spans="1:16">
      <c r="A6" t="s">
        <v>5</v>
      </c>
      <c r="B6" t="s">
        <v>6</v>
      </c>
      <c r="C6" t="s">
        <v>9</v>
      </c>
      <c r="D6" t="s">
        <v>8</v>
      </c>
      <c r="E6" t="s">
        <v>7</v>
      </c>
      <c r="F6" t="s">
        <v>20</v>
      </c>
      <c r="J6" t="s">
        <v>6</v>
      </c>
      <c r="K6" t="s">
        <v>9</v>
      </c>
      <c r="L6" t="s">
        <v>8</v>
      </c>
      <c r="M6" t="s">
        <v>7</v>
      </c>
      <c r="N6" t="s">
        <v>20</v>
      </c>
    </row>
    <row r="7" spans="1:16">
      <c r="A7" t="s">
        <v>10</v>
      </c>
      <c r="B7">
        <v>63.44</v>
      </c>
      <c r="C7">
        <v>66</v>
      </c>
      <c r="D7">
        <v>56.82</v>
      </c>
      <c r="E7">
        <v>91</v>
      </c>
      <c r="F7">
        <v>0.17</v>
      </c>
      <c r="I7" t="s">
        <v>6</v>
      </c>
      <c r="J7">
        <v>1</v>
      </c>
      <c r="K7">
        <v>4</v>
      </c>
      <c r="L7">
        <v>3</v>
      </c>
      <c r="M7">
        <v>2</v>
      </c>
      <c r="N7">
        <v>2</v>
      </c>
      <c r="O7">
        <v>0.3483</v>
      </c>
    </row>
    <row r="8" spans="1:16">
      <c r="A8" t="s">
        <v>11</v>
      </c>
      <c r="B8">
        <v>111.95</v>
      </c>
      <c r="C8">
        <v>119.63</v>
      </c>
      <c r="D8">
        <v>100.5</v>
      </c>
      <c r="E8">
        <v>131.81</v>
      </c>
      <c r="F8">
        <v>0.42</v>
      </c>
      <c r="I8" t="s">
        <v>9</v>
      </c>
      <c r="J8">
        <v>0.25</v>
      </c>
      <c r="K8">
        <v>1</v>
      </c>
      <c r="L8">
        <v>0.5</v>
      </c>
      <c r="M8">
        <v>0.33</v>
      </c>
      <c r="N8">
        <v>1</v>
      </c>
      <c r="O8">
        <v>0.1072</v>
      </c>
    </row>
    <row r="9" spans="1:16">
      <c r="A9" t="s">
        <v>12</v>
      </c>
      <c r="B9">
        <v>77.489999999999995</v>
      </c>
      <c r="C9">
        <v>23.43</v>
      </c>
      <c r="D9">
        <v>40.229999999999997</v>
      </c>
      <c r="E9">
        <v>80.67</v>
      </c>
      <c r="F9">
        <v>0.12</v>
      </c>
      <c r="I9" t="s">
        <v>8</v>
      </c>
      <c r="J9">
        <v>0.33</v>
      </c>
      <c r="K9">
        <v>2</v>
      </c>
      <c r="L9">
        <v>1</v>
      </c>
      <c r="M9">
        <v>0.5</v>
      </c>
      <c r="N9">
        <v>0.5</v>
      </c>
      <c r="O9">
        <v>0.1356</v>
      </c>
    </row>
    <row r="10" spans="1:16">
      <c r="A10" t="s">
        <v>13</v>
      </c>
      <c r="B10">
        <v>5.45</v>
      </c>
      <c r="C10">
        <v>78.56</v>
      </c>
      <c r="D10">
        <v>109.2</v>
      </c>
      <c r="E10">
        <v>84.2</v>
      </c>
      <c r="F10">
        <v>0.12</v>
      </c>
      <c r="I10" t="s">
        <v>7</v>
      </c>
      <c r="J10">
        <v>0.5</v>
      </c>
      <c r="K10">
        <v>3</v>
      </c>
      <c r="L10">
        <v>2</v>
      </c>
      <c r="M10">
        <v>1</v>
      </c>
      <c r="N10">
        <v>2</v>
      </c>
      <c r="O10">
        <v>0.24640000000000001</v>
      </c>
    </row>
    <row r="11" spans="1:16">
      <c r="A11" t="s">
        <v>14</v>
      </c>
      <c r="B11">
        <v>82.2</v>
      </c>
      <c r="C11">
        <v>67.97</v>
      </c>
      <c r="D11">
        <v>78.489999999999995</v>
      </c>
      <c r="E11">
        <v>61.8</v>
      </c>
      <c r="F11">
        <v>0.24</v>
      </c>
      <c r="I11" t="s">
        <v>20</v>
      </c>
      <c r="J11">
        <v>0.5</v>
      </c>
      <c r="K11">
        <v>1</v>
      </c>
      <c r="L11">
        <v>2</v>
      </c>
      <c r="M11">
        <v>0.5</v>
      </c>
      <c r="N11">
        <v>1</v>
      </c>
      <c r="O11">
        <v>0.16250000000000001</v>
      </c>
      <c r="P11" t="s">
        <v>45</v>
      </c>
    </row>
    <row r="12" spans="1:16">
      <c r="A12" t="s">
        <v>15</v>
      </c>
      <c r="B12">
        <v>41.85</v>
      </c>
      <c r="C12">
        <v>70.290000000000006</v>
      </c>
      <c r="D12">
        <v>63.1</v>
      </c>
      <c r="E12">
        <v>63.44</v>
      </c>
      <c r="F12">
        <v>0.24</v>
      </c>
      <c r="J12">
        <f>SUM(J7:J11)</f>
        <v>2.58</v>
      </c>
      <c r="K12">
        <f t="shared" ref="K12:N12" si="0">SUM(K7:K11)</f>
        <v>11</v>
      </c>
      <c r="L12">
        <f t="shared" si="0"/>
        <v>8.5</v>
      </c>
      <c r="M12">
        <f t="shared" si="0"/>
        <v>4.33</v>
      </c>
      <c r="N12">
        <f t="shared" si="0"/>
        <v>6.5</v>
      </c>
      <c r="O12">
        <f>SUM(O7:O11)</f>
        <v>0.99999999999999989</v>
      </c>
      <c r="P12" t="s">
        <v>46</v>
      </c>
    </row>
    <row r="13" spans="1:16">
      <c r="A13" t="s">
        <v>16</v>
      </c>
      <c r="B13">
        <v>58.42</v>
      </c>
      <c r="C13">
        <v>31.22</v>
      </c>
      <c r="D13">
        <v>68.45</v>
      </c>
      <c r="E13">
        <v>78.150000000000006</v>
      </c>
      <c r="F13">
        <v>1.05</v>
      </c>
      <c r="J13">
        <f>(J12*O7)</f>
        <v>0.89861400000000002</v>
      </c>
      <c r="K13">
        <f>(K12*O8)</f>
        <v>1.1792</v>
      </c>
      <c r="L13">
        <f>(L12*O9)</f>
        <v>1.1526000000000001</v>
      </c>
      <c r="M13">
        <f>(M12*O10)</f>
        <v>1.0669120000000001</v>
      </c>
      <c r="N13">
        <f>(N12*O11)</f>
        <v>1.0562500000000001</v>
      </c>
      <c r="O13">
        <f>SUM(J13:N13)</f>
        <v>5.3535760000000003</v>
      </c>
    </row>
    <row r="14" spans="1:16">
      <c r="A14" t="s">
        <v>17</v>
      </c>
      <c r="B14">
        <v>37.049999999999997</v>
      </c>
      <c r="C14">
        <v>36.15</v>
      </c>
      <c r="D14">
        <v>102.74</v>
      </c>
      <c r="E14">
        <v>132.87</v>
      </c>
      <c r="F14">
        <v>1.65</v>
      </c>
    </row>
    <row r="15" spans="1:16">
      <c r="A15" t="s">
        <v>18</v>
      </c>
      <c r="B15">
        <v>42.05</v>
      </c>
      <c r="C15">
        <v>59.63</v>
      </c>
      <c r="D15">
        <v>174.5</v>
      </c>
      <c r="E15">
        <v>97.16</v>
      </c>
      <c r="F15">
        <v>0.21</v>
      </c>
    </row>
    <row r="16" spans="1:16">
      <c r="A16" t="s">
        <v>19</v>
      </c>
      <c r="B16">
        <v>4.8499999999999996</v>
      </c>
      <c r="C16">
        <v>133.61000000000001</v>
      </c>
      <c r="D16">
        <v>82.01</v>
      </c>
      <c r="E16">
        <v>83.74</v>
      </c>
      <c r="F16">
        <v>0.12</v>
      </c>
    </row>
    <row r="17" spans="1:14">
      <c r="A17" t="s">
        <v>21</v>
      </c>
      <c r="B17">
        <v>5.38</v>
      </c>
      <c r="C17">
        <v>47.17</v>
      </c>
      <c r="D17">
        <v>84.56</v>
      </c>
      <c r="E17">
        <v>81.23</v>
      </c>
      <c r="F17">
        <v>5.6000000000000001E-2</v>
      </c>
    </row>
    <row r="22" spans="1:14">
      <c r="A22" t="s">
        <v>22</v>
      </c>
      <c r="B22">
        <v>0.2006</v>
      </c>
      <c r="C22">
        <v>1.0200000000000001E-2</v>
      </c>
      <c r="D22">
        <v>7.5800000000000006E-2</v>
      </c>
      <c r="E22">
        <v>0.1067</v>
      </c>
      <c r="F22">
        <v>4.4000000000000003E-3</v>
      </c>
    </row>
    <row r="23" spans="1:14">
      <c r="A23" t="s">
        <v>23</v>
      </c>
      <c r="B23">
        <v>8.6999999999999994E-3</v>
      </c>
      <c r="C23">
        <v>5.79E-2</v>
      </c>
      <c r="D23">
        <v>1.7500000000000002E-2</v>
      </c>
      <c r="E23">
        <v>4.9599999999999998E-2</v>
      </c>
      <c r="F23">
        <v>0.12989999999999999</v>
      </c>
    </row>
    <row r="25" spans="1:14">
      <c r="B25" s="5" t="s">
        <v>28</v>
      </c>
      <c r="C25" s="5"/>
      <c r="D25" s="5"/>
      <c r="E25" s="5"/>
      <c r="J25" t="s">
        <v>25</v>
      </c>
      <c r="K25" t="s">
        <v>26</v>
      </c>
      <c r="L25" t="s">
        <v>24</v>
      </c>
      <c r="M25" t="s">
        <v>27</v>
      </c>
    </row>
    <row r="26" spans="1:14">
      <c r="A26" t="s">
        <v>10</v>
      </c>
      <c r="B26">
        <v>0.1137</v>
      </c>
      <c r="C26">
        <v>2.86E-2</v>
      </c>
      <c r="D26">
        <v>2.47E-2</v>
      </c>
      <c r="E26">
        <v>7.3099999999999998E-2</v>
      </c>
      <c r="F26">
        <v>1.34E-2</v>
      </c>
      <c r="I26">
        <v>4</v>
      </c>
      <c r="J26">
        <v>0.1081</v>
      </c>
      <c r="K26">
        <v>0.1615</v>
      </c>
      <c r="L26">
        <v>0.59899999999999998</v>
      </c>
      <c r="M26">
        <v>0.25340000000000001</v>
      </c>
      <c r="N26">
        <v>6</v>
      </c>
    </row>
    <row r="27" spans="1:14">
      <c r="A27" t="s">
        <v>11</v>
      </c>
      <c r="B27">
        <v>0.2006</v>
      </c>
      <c r="C27">
        <v>5.1900000000000002E-2</v>
      </c>
      <c r="D27">
        <v>4.3700000000000003E-2</v>
      </c>
      <c r="E27">
        <v>0.10580000000000001</v>
      </c>
      <c r="F27">
        <v>3.3099999999999997E-2</v>
      </c>
      <c r="I27">
        <v>1</v>
      </c>
      <c r="J27">
        <v>0.06</v>
      </c>
      <c r="K27">
        <v>0.224</v>
      </c>
      <c r="L27">
        <v>0.78890000000000005</v>
      </c>
      <c r="M27">
        <v>0.435</v>
      </c>
      <c r="N27" s="1">
        <v>1</v>
      </c>
    </row>
    <row r="28" spans="1:14">
      <c r="A28" t="s">
        <v>12</v>
      </c>
      <c r="B28">
        <v>0.1389</v>
      </c>
      <c r="C28">
        <v>1.0200000000000001E-2</v>
      </c>
      <c r="D28">
        <v>1.7500000000000002E-2</v>
      </c>
      <c r="E28">
        <v>6.4799999999999996E-2</v>
      </c>
      <c r="F28">
        <v>9.4000000000000004E-3</v>
      </c>
      <c r="I28">
        <v>2</v>
      </c>
      <c r="J28">
        <v>9.1600000000000001E-2</v>
      </c>
      <c r="K28">
        <v>0.1807</v>
      </c>
      <c r="L28">
        <v>0.66359999999999997</v>
      </c>
      <c r="M28">
        <v>0.2407</v>
      </c>
      <c r="N28">
        <v>7</v>
      </c>
    </row>
    <row r="29" spans="1:14">
      <c r="A29" t="s">
        <v>13</v>
      </c>
      <c r="B29">
        <v>9.7999999999999997E-3</v>
      </c>
      <c r="C29">
        <v>3.4099999999999998E-2</v>
      </c>
      <c r="D29">
        <v>4.7399999999999998E-2</v>
      </c>
      <c r="E29">
        <v>6.7599999999999993E-2</v>
      </c>
      <c r="F29">
        <v>9.4000000000000004E-3</v>
      </c>
      <c r="I29">
        <v>9</v>
      </c>
      <c r="J29">
        <v>0.1983</v>
      </c>
      <c r="K29">
        <v>0.12770000000000001</v>
      </c>
      <c r="L29">
        <v>0.39169999999999999</v>
      </c>
      <c r="M29">
        <v>0.16830000000000001</v>
      </c>
      <c r="N29">
        <v>10</v>
      </c>
    </row>
    <row r="30" spans="1:14">
      <c r="A30" t="s">
        <v>14</v>
      </c>
      <c r="B30">
        <v>0.14729999999999999</v>
      </c>
      <c r="C30">
        <v>2.9499999999999998E-2</v>
      </c>
      <c r="D30">
        <v>3.4099999999999998E-2</v>
      </c>
      <c r="E30">
        <v>4.9599999999999998E-2</v>
      </c>
      <c r="F30">
        <v>1.89E-2</v>
      </c>
      <c r="I30">
        <v>3</v>
      </c>
      <c r="J30">
        <v>9.4700000000000006E-2</v>
      </c>
      <c r="K30">
        <v>0.18440000000000001</v>
      </c>
      <c r="L30">
        <v>0.66069999999999995</v>
      </c>
      <c r="M30">
        <v>0.27939999999999998</v>
      </c>
      <c r="N30">
        <v>4</v>
      </c>
    </row>
    <row r="31" spans="1:14">
      <c r="A31" t="s">
        <v>15</v>
      </c>
      <c r="B31">
        <v>7.4999999999999997E-2</v>
      </c>
      <c r="C31">
        <v>3.0499999999999999E-2</v>
      </c>
      <c r="D31">
        <v>2.7400000000000001E-2</v>
      </c>
      <c r="E31">
        <v>5.0900000000000001E-2</v>
      </c>
      <c r="F31">
        <v>1.89E-2</v>
      </c>
      <c r="I31">
        <v>6</v>
      </c>
      <c r="J31">
        <v>0.1477</v>
      </c>
      <c r="K31">
        <v>0.13250000000000001</v>
      </c>
      <c r="L31">
        <v>0.47289999999999999</v>
      </c>
      <c r="M31">
        <v>0.20269999999999999</v>
      </c>
      <c r="N31">
        <v>8</v>
      </c>
    </row>
    <row r="32" spans="1:14">
      <c r="A32" t="s">
        <v>16</v>
      </c>
      <c r="B32">
        <v>0.1047</v>
      </c>
      <c r="C32">
        <v>1.35E-2</v>
      </c>
      <c r="D32">
        <v>2.9700000000000001E-2</v>
      </c>
      <c r="E32">
        <v>6.2700000000000006E-2</v>
      </c>
      <c r="F32">
        <v>8.2600000000000007E-2</v>
      </c>
      <c r="I32">
        <v>7</v>
      </c>
      <c r="J32">
        <v>0.13919999999999999</v>
      </c>
      <c r="K32">
        <v>0.1172</v>
      </c>
      <c r="L32">
        <v>0.45700000000000002</v>
      </c>
      <c r="M32">
        <v>0.29339999999999999</v>
      </c>
      <c r="N32">
        <v>3</v>
      </c>
    </row>
    <row r="33" spans="1:14">
      <c r="A33" t="s">
        <v>17</v>
      </c>
      <c r="B33">
        <v>6.6400000000000001E-2</v>
      </c>
      <c r="C33">
        <v>1.5699999999999999E-2</v>
      </c>
      <c r="D33">
        <v>4.4600000000000001E-2</v>
      </c>
      <c r="E33">
        <v>0.1067</v>
      </c>
      <c r="F33">
        <v>0.12989999999999999</v>
      </c>
      <c r="I33">
        <v>11</v>
      </c>
      <c r="J33">
        <v>0.18659999999999999</v>
      </c>
      <c r="K33">
        <v>9.5600000000000004E-2</v>
      </c>
      <c r="L33">
        <v>0.3387</v>
      </c>
      <c r="M33">
        <v>0.36320000000000002</v>
      </c>
      <c r="N33">
        <v>2</v>
      </c>
    </row>
    <row r="34" spans="1:14">
      <c r="A34" t="s">
        <v>18</v>
      </c>
      <c r="B34">
        <v>7.5399999999999995E-2</v>
      </c>
      <c r="C34">
        <v>2.5899999999999999E-2</v>
      </c>
      <c r="D34">
        <v>7.5800000000000006E-2</v>
      </c>
      <c r="E34">
        <v>7.8E-2</v>
      </c>
      <c r="F34">
        <v>1.6500000000000001E-2</v>
      </c>
      <c r="I34">
        <v>5</v>
      </c>
      <c r="J34">
        <v>0.12989999999999999</v>
      </c>
      <c r="K34">
        <v>0.1502</v>
      </c>
      <c r="L34">
        <v>0.53620000000000001</v>
      </c>
      <c r="M34">
        <v>0.27160000000000001</v>
      </c>
      <c r="N34" s="1">
        <v>5</v>
      </c>
    </row>
    <row r="35" spans="1:14">
      <c r="A35" t="s">
        <v>19</v>
      </c>
      <c r="B35">
        <v>8.6999999999999994E-3</v>
      </c>
      <c r="C35">
        <v>5.79E-2</v>
      </c>
      <c r="D35">
        <v>3.56E-2</v>
      </c>
      <c r="E35">
        <v>6.7199999999999996E-2</v>
      </c>
      <c r="F35">
        <v>9.4000000000000004E-3</v>
      </c>
      <c r="I35">
        <v>10</v>
      </c>
      <c r="J35">
        <v>0.20569999999999999</v>
      </c>
      <c r="K35">
        <v>0.1231</v>
      </c>
      <c r="L35">
        <v>0.37440000000000001</v>
      </c>
      <c r="M35">
        <v>0.17899999999999999</v>
      </c>
      <c r="N35">
        <v>9</v>
      </c>
    </row>
    <row r="36" spans="1:14">
      <c r="A36" t="s">
        <v>21</v>
      </c>
      <c r="B36">
        <v>9.5999999999999992E-3</v>
      </c>
      <c r="C36">
        <v>2.0500000000000001E-2</v>
      </c>
      <c r="D36">
        <v>3.6700000000000003E-2</v>
      </c>
      <c r="E36">
        <v>6.5199999999999994E-2</v>
      </c>
      <c r="F36">
        <v>4.4000000000000003E-3</v>
      </c>
      <c r="I36">
        <v>8</v>
      </c>
      <c r="J36">
        <v>0.19950000000000001</v>
      </c>
      <c r="K36">
        <v>0.1333</v>
      </c>
      <c r="L36">
        <v>0.40060000000000001</v>
      </c>
      <c r="M36">
        <v>0.13650000000000001</v>
      </c>
      <c r="N36">
        <v>11</v>
      </c>
    </row>
    <row r="38" spans="1:14">
      <c r="C38" s="5" t="s">
        <v>29</v>
      </c>
      <c r="D38" s="5"/>
      <c r="E38" s="5"/>
    </row>
    <row r="39" spans="1:14">
      <c r="J39" t="s">
        <v>43</v>
      </c>
      <c r="K39" t="s">
        <v>42</v>
      </c>
      <c r="L39" t="s">
        <v>44</v>
      </c>
    </row>
    <row r="40" spans="1:14">
      <c r="A40" t="s">
        <v>10</v>
      </c>
      <c r="B40">
        <v>0.32669999999999999</v>
      </c>
      <c r="C40">
        <v>0.26750000000000002</v>
      </c>
      <c r="D40">
        <v>0.18279999999999999</v>
      </c>
      <c r="E40">
        <v>0.29699999999999999</v>
      </c>
      <c r="F40">
        <v>8.2600000000000007E-2</v>
      </c>
      <c r="I40" t="s">
        <v>10</v>
      </c>
      <c r="J40">
        <v>4</v>
      </c>
      <c r="K40">
        <v>6</v>
      </c>
      <c r="L40">
        <v>8</v>
      </c>
    </row>
    <row r="41" spans="1:14">
      <c r="A41" t="s">
        <v>11</v>
      </c>
      <c r="B41">
        <v>0.57650000000000001</v>
      </c>
      <c r="C41">
        <v>0.4849</v>
      </c>
      <c r="D41">
        <v>0.32340000000000002</v>
      </c>
      <c r="E41">
        <v>0.43009999999999998</v>
      </c>
      <c r="F41">
        <v>0.2041</v>
      </c>
      <c r="I41" t="s">
        <v>11</v>
      </c>
      <c r="J41">
        <v>1</v>
      </c>
      <c r="K41" s="1">
        <v>1</v>
      </c>
      <c r="L41">
        <v>2</v>
      </c>
    </row>
    <row r="42" spans="1:14">
      <c r="A42" t="s">
        <v>12</v>
      </c>
      <c r="B42">
        <v>0.39910000000000001</v>
      </c>
      <c r="C42">
        <v>9.5000000000000001E-2</v>
      </c>
      <c r="D42">
        <v>0.1295</v>
      </c>
      <c r="E42">
        <v>0.26319999999999999</v>
      </c>
      <c r="F42">
        <v>5.8299999999999998E-2</v>
      </c>
      <c r="I42" t="s">
        <v>12</v>
      </c>
      <c r="J42">
        <v>2</v>
      </c>
      <c r="K42">
        <v>3</v>
      </c>
      <c r="L42">
        <v>1</v>
      </c>
    </row>
    <row r="43" spans="1:14">
      <c r="A43" t="s">
        <v>13</v>
      </c>
      <c r="B43">
        <v>2.81E-2</v>
      </c>
      <c r="C43">
        <v>0.31840000000000002</v>
      </c>
      <c r="D43">
        <v>0.35139999999999999</v>
      </c>
      <c r="E43">
        <v>0.27479999999999999</v>
      </c>
      <c r="F43">
        <v>5.8299999999999998E-2</v>
      </c>
      <c r="I43" t="s">
        <v>13</v>
      </c>
      <c r="J43">
        <v>9</v>
      </c>
      <c r="K43">
        <v>10</v>
      </c>
      <c r="L43">
        <v>4</v>
      </c>
    </row>
    <row r="44" spans="1:14">
      <c r="A44" t="s">
        <v>14</v>
      </c>
      <c r="B44">
        <v>0.42330000000000001</v>
      </c>
      <c r="C44">
        <v>0.27550000000000002</v>
      </c>
      <c r="D44">
        <v>0.25259999999999999</v>
      </c>
      <c r="E44">
        <v>0.20169999999999999</v>
      </c>
      <c r="F44">
        <v>0.1166</v>
      </c>
      <c r="I44" t="s">
        <v>14</v>
      </c>
      <c r="J44">
        <v>3</v>
      </c>
      <c r="K44">
        <v>2</v>
      </c>
      <c r="L44">
        <v>3</v>
      </c>
    </row>
    <row r="45" spans="1:14">
      <c r="A45" t="s">
        <v>15</v>
      </c>
      <c r="B45">
        <v>0.2155</v>
      </c>
      <c r="C45">
        <v>0.28489999999999999</v>
      </c>
      <c r="D45">
        <v>0.20300000000000001</v>
      </c>
      <c r="E45">
        <v>0.20699999999999999</v>
      </c>
      <c r="F45">
        <v>0.1166</v>
      </c>
      <c r="I45" t="s">
        <v>15</v>
      </c>
      <c r="J45">
        <v>6</v>
      </c>
      <c r="K45">
        <v>4</v>
      </c>
      <c r="L45">
        <v>6</v>
      </c>
    </row>
    <row r="46" spans="1:14">
      <c r="A46" t="s">
        <v>16</v>
      </c>
      <c r="B46">
        <v>0.3009</v>
      </c>
      <c r="C46">
        <v>0.1265</v>
      </c>
      <c r="D46">
        <v>0.2203</v>
      </c>
      <c r="E46">
        <v>0.255</v>
      </c>
      <c r="F46">
        <v>0.51019999999999999</v>
      </c>
      <c r="I46" t="s">
        <v>16</v>
      </c>
      <c r="J46">
        <v>7</v>
      </c>
      <c r="K46">
        <v>7</v>
      </c>
      <c r="L46">
        <v>9</v>
      </c>
    </row>
    <row r="47" spans="1:14">
      <c r="A47" t="s">
        <v>17</v>
      </c>
      <c r="B47">
        <v>0.1908</v>
      </c>
      <c r="C47">
        <v>0.14649999999999999</v>
      </c>
      <c r="D47">
        <v>0.3306</v>
      </c>
      <c r="E47">
        <v>0.43359999999999999</v>
      </c>
      <c r="F47">
        <v>0.80169999999999997</v>
      </c>
      <c r="I47" t="s">
        <v>17</v>
      </c>
      <c r="J47">
        <v>11</v>
      </c>
      <c r="K47">
        <v>11</v>
      </c>
      <c r="L47">
        <v>10</v>
      </c>
    </row>
    <row r="48" spans="1:14">
      <c r="A48" t="s">
        <v>18</v>
      </c>
      <c r="B48">
        <v>0.21659999999999999</v>
      </c>
      <c r="C48">
        <v>0.2417</v>
      </c>
      <c r="D48">
        <v>0.5615</v>
      </c>
      <c r="E48">
        <v>0.31709999999999999</v>
      </c>
      <c r="F48">
        <v>0.10199999999999999</v>
      </c>
      <c r="I48" t="s">
        <v>18</v>
      </c>
      <c r="J48">
        <v>5</v>
      </c>
      <c r="K48" s="1">
        <v>5</v>
      </c>
      <c r="L48">
        <v>5</v>
      </c>
    </row>
    <row r="49" spans="1:12">
      <c r="A49" t="s">
        <v>19</v>
      </c>
      <c r="B49">
        <v>2.5000000000000001E-2</v>
      </c>
      <c r="C49">
        <v>0.54159999999999997</v>
      </c>
      <c r="D49">
        <v>0.26390000000000002</v>
      </c>
      <c r="E49">
        <v>0.27329999999999999</v>
      </c>
      <c r="F49">
        <v>5.8299999999999998E-2</v>
      </c>
      <c r="I49" t="s">
        <v>19</v>
      </c>
      <c r="J49">
        <v>10</v>
      </c>
      <c r="K49">
        <v>9</v>
      </c>
      <c r="L49">
        <v>11</v>
      </c>
    </row>
    <row r="50" spans="1:12">
      <c r="A50" t="s">
        <v>21</v>
      </c>
      <c r="B50">
        <v>2.7699999999999999E-2</v>
      </c>
      <c r="C50">
        <v>0.19120000000000001</v>
      </c>
      <c r="D50">
        <v>0.27210000000000001</v>
      </c>
      <c r="E50">
        <v>0.2651</v>
      </c>
      <c r="F50">
        <v>2.7199999999999998E-2</v>
      </c>
      <c r="I50" t="s">
        <v>21</v>
      </c>
      <c r="J50">
        <v>8</v>
      </c>
      <c r="K50">
        <v>8</v>
      </c>
      <c r="L50">
        <v>7</v>
      </c>
    </row>
  </sheetData>
  <mergeCells count="2">
    <mergeCell ref="B25:E25"/>
    <mergeCell ref="C38:E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Z36"/>
  <sheetViews>
    <sheetView topLeftCell="B10" workbookViewId="0">
      <selection activeCell="D21" sqref="D21:N36"/>
    </sheetView>
  </sheetViews>
  <sheetFormatPr defaultRowHeight="15"/>
  <sheetData>
    <row r="8" spans="4:26">
      <c r="Q8" s="2"/>
      <c r="S8" s="2"/>
      <c r="T8" s="2"/>
      <c r="U8" s="2"/>
      <c r="V8" s="2"/>
      <c r="W8" s="3"/>
      <c r="X8" s="2"/>
      <c r="Y8" s="2"/>
      <c r="Z8" s="2"/>
    </row>
    <row r="9" spans="4:26">
      <c r="D9" t="s">
        <v>30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21</v>
      </c>
    </row>
    <row r="10" spans="4:26">
      <c r="D10" s="2" t="s">
        <v>32</v>
      </c>
      <c r="E10">
        <v>0.39400000000000002</v>
      </c>
      <c r="F10">
        <v>0.43909999999999999</v>
      </c>
      <c r="G10">
        <v>0.42349999999999999</v>
      </c>
      <c r="H10">
        <v>0.37519999999999998</v>
      </c>
      <c r="I10">
        <v>0.39319999999999999</v>
      </c>
      <c r="J10">
        <v>0.36049999999999999</v>
      </c>
      <c r="K10">
        <v>0.22339999999999999</v>
      </c>
      <c r="L10">
        <v>0.2233</v>
      </c>
      <c r="M10">
        <v>0.40789999999999998</v>
      </c>
      <c r="N10">
        <v>0.39739999999999998</v>
      </c>
      <c r="O10">
        <v>0.37580000000000002</v>
      </c>
    </row>
    <row r="11" spans="4:26">
      <c r="D11" t="s">
        <v>36</v>
      </c>
      <c r="E11">
        <v>0.45610000000000001</v>
      </c>
      <c r="F11">
        <v>0.54179999999999995</v>
      </c>
      <c r="G11">
        <v>0.4753</v>
      </c>
      <c r="H11">
        <v>0.43940000000000001</v>
      </c>
      <c r="I11">
        <v>0.47749999999999998</v>
      </c>
      <c r="J11">
        <v>0.41239999999999999</v>
      </c>
      <c r="K11">
        <v>0.33950000000000002</v>
      </c>
      <c r="L11">
        <v>0.35780000000000001</v>
      </c>
      <c r="M11">
        <v>0.50529999999999997</v>
      </c>
      <c r="N11">
        <v>0.40770000000000001</v>
      </c>
      <c r="O11">
        <v>0.43049999999999999</v>
      </c>
    </row>
    <row r="12" spans="4:26">
      <c r="D12" s="2" t="s">
        <v>33</v>
      </c>
      <c r="E12">
        <v>0.53180000000000005</v>
      </c>
      <c r="F12">
        <v>0.67390000000000005</v>
      </c>
      <c r="G12">
        <v>0.5786</v>
      </c>
      <c r="H12">
        <v>0.4052</v>
      </c>
      <c r="I12">
        <v>0.57140000000000002</v>
      </c>
      <c r="J12">
        <v>0.43719999999999998</v>
      </c>
      <c r="K12">
        <v>0.3911</v>
      </c>
      <c r="L12">
        <v>0.36730000000000002</v>
      </c>
      <c r="M12">
        <v>0.505</v>
      </c>
      <c r="N12">
        <v>0.38869999999999999</v>
      </c>
      <c r="O12">
        <v>0.41210000000000002</v>
      </c>
    </row>
    <row r="13" spans="4:26">
      <c r="D13" s="2" t="s">
        <v>37</v>
      </c>
      <c r="E13">
        <v>0.41830000000000001</v>
      </c>
      <c r="F13">
        <v>0.46939999999999998</v>
      </c>
      <c r="G13">
        <v>0.4627</v>
      </c>
      <c r="H13">
        <v>0.36580000000000001</v>
      </c>
      <c r="I13">
        <v>0.42059999999999997</v>
      </c>
      <c r="J13">
        <v>0.34410000000000002</v>
      </c>
      <c r="K13">
        <v>0.24779999999999999</v>
      </c>
      <c r="L13">
        <v>0.34260000000000002</v>
      </c>
      <c r="M13">
        <v>0.41570000000000001</v>
      </c>
      <c r="N13">
        <v>0.34849999999999998</v>
      </c>
      <c r="O13">
        <v>0.3861</v>
      </c>
    </row>
    <row r="14" spans="4:26">
      <c r="D14" s="2" t="s">
        <v>38</v>
      </c>
      <c r="E14">
        <v>0.58809999999999996</v>
      </c>
      <c r="F14">
        <v>0.74880000000000002</v>
      </c>
      <c r="G14">
        <v>0.65439999999999998</v>
      </c>
      <c r="H14">
        <v>0.38179999999999997</v>
      </c>
      <c r="I14">
        <v>0.64880000000000004</v>
      </c>
      <c r="J14">
        <v>0.46410000000000001</v>
      </c>
      <c r="K14">
        <v>0.4491</v>
      </c>
      <c r="L14">
        <v>0.32679999999999998</v>
      </c>
      <c r="M14">
        <v>0.52090000000000003</v>
      </c>
      <c r="N14">
        <v>0.36830000000000002</v>
      </c>
      <c r="O14">
        <v>0.39389999999999997</v>
      </c>
    </row>
    <row r="15" spans="4:26">
      <c r="D15" s="2" t="s">
        <v>34</v>
      </c>
      <c r="E15">
        <v>0.53490000000000004</v>
      </c>
      <c r="F15">
        <v>0.63029999999999997</v>
      </c>
      <c r="G15">
        <v>0.6099</v>
      </c>
      <c r="H15">
        <v>0.36809999999999998</v>
      </c>
      <c r="I15">
        <v>0.59370000000000001</v>
      </c>
      <c r="J15">
        <v>0.4385</v>
      </c>
      <c r="K15">
        <v>0.42109999999999997</v>
      </c>
      <c r="L15">
        <v>0.25469999999999998</v>
      </c>
      <c r="M15">
        <v>0.48559999999999998</v>
      </c>
      <c r="N15">
        <v>0.37219999999999998</v>
      </c>
      <c r="O15">
        <v>0.37730000000000002</v>
      </c>
    </row>
    <row r="16" spans="4:26">
      <c r="D16" s="3" t="s">
        <v>39</v>
      </c>
      <c r="E16">
        <v>0.59399999999999997</v>
      </c>
      <c r="F16">
        <v>0.74750000000000005</v>
      </c>
      <c r="G16">
        <v>0.66169999999999995</v>
      </c>
      <c r="H16">
        <v>0.39019999999999999</v>
      </c>
      <c r="I16">
        <v>0.65780000000000005</v>
      </c>
      <c r="J16">
        <v>0.47470000000000001</v>
      </c>
      <c r="K16">
        <v>0.50590000000000002</v>
      </c>
      <c r="L16">
        <v>0.38900000000000001</v>
      </c>
      <c r="M16">
        <v>0.53610000000000002</v>
      </c>
      <c r="N16">
        <v>0.37690000000000001</v>
      </c>
      <c r="O16">
        <v>0.39750000000000002</v>
      </c>
    </row>
    <row r="17" spans="4:26">
      <c r="D17" s="2" t="s">
        <v>35</v>
      </c>
      <c r="E17">
        <v>0.58430000000000004</v>
      </c>
      <c r="F17">
        <v>0.76149999999999995</v>
      </c>
      <c r="G17">
        <v>0.64019999999999999</v>
      </c>
      <c r="H17">
        <v>0.40839999999999999</v>
      </c>
      <c r="I17">
        <v>0.65239999999999998</v>
      </c>
      <c r="J17">
        <v>0.4748</v>
      </c>
      <c r="K17">
        <v>0.45779999999999998</v>
      </c>
      <c r="L17">
        <v>0.33629999999999999</v>
      </c>
      <c r="M17">
        <v>0.53939999999999999</v>
      </c>
      <c r="N17">
        <v>0.38250000000000001</v>
      </c>
      <c r="O17">
        <v>0.40799999999999997</v>
      </c>
    </row>
    <row r="18" spans="4:26">
      <c r="D18" s="2" t="s">
        <v>40</v>
      </c>
      <c r="E18">
        <v>0.60719999999999996</v>
      </c>
      <c r="F18">
        <v>0.81059999999999999</v>
      </c>
      <c r="G18">
        <v>0.66720000000000002</v>
      </c>
      <c r="H18">
        <v>0.40050000000000002</v>
      </c>
      <c r="I18">
        <v>0.67510000000000003</v>
      </c>
      <c r="J18">
        <v>0.48220000000000002</v>
      </c>
      <c r="K18">
        <v>0.48830000000000001</v>
      </c>
      <c r="L18">
        <v>0.37019999999999997</v>
      </c>
      <c r="M18">
        <v>0.54859999999999998</v>
      </c>
      <c r="N18">
        <v>0.38109999999999999</v>
      </c>
      <c r="O18">
        <v>0.40560000000000002</v>
      </c>
    </row>
    <row r="19" spans="4:26">
      <c r="D19" s="2" t="s">
        <v>41</v>
      </c>
      <c r="E19">
        <v>0.56540000000000001</v>
      </c>
      <c r="F19">
        <v>0.72750000000000004</v>
      </c>
      <c r="G19">
        <v>0.62880000000000003</v>
      </c>
      <c r="H19">
        <v>0.37359999999999999</v>
      </c>
      <c r="I19">
        <v>0.62629999999999997</v>
      </c>
      <c r="J19">
        <v>0.44529999999999997</v>
      </c>
      <c r="K19">
        <v>0.38059999999999999</v>
      </c>
      <c r="L19">
        <v>0.3029</v>
      </c>
      <c r="M19">
        <v>0.50319999999999998</v>
      </c>
      <c r="N19">
        <v>0.35639999999999999</v>
      </c>
      <c r="O19">
        <v>0.38840000000000002</v>
      </c>
    </row>
    <row r="20" spans="4:26">
      <c r="E20">
        <v>9</v>
      </c>
      <c r="F20">
        <v>2</v>
      </c>
      <c r="G20">
        <v>1</v>
      </c>
      <c r="H20">
        <v>10</v>
      </c>
      <c r="I20">
        <v>4</v>
      </c>
      <c r="J20">
        <v>7</v>
      </c>
      <c r="K20">
        <v>6</v>
      </c>
      <c r="L20">
        <v>8</v>
      </c>
      <c r="M20">
        <v>3</v>
      </c>
      <c r="N20">
        <v>5</v>
      </c>
    </row>
    <row r="21" spans="4:26">
      <c r="D21" t="s">
        <v>30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  <c r="K21" t="s">
        <v>16</v>
      </c>
      <c r="L21" t="s">
        <v>17</v>
      </c>
      <c r="M21" t="s">
        <v>18</v>
      </c>
      <c r="N21" t="s">
        <v>19</v>
      </c>
      <c r="Q21" s="2"/>
      <c r="S21" s="2"/>
      <c r="T21" s="2"/>
      <c r="U21" s="2"/>
      <c r="V21" s="2"/>
      <c r="W21" s="3"/>
      <c r="X21" s="2"/>
      <c r="Y21" s="2"/>
      <c r="Z21" s="2"/>
    </row>
    <row r="22" spans="4:26">
      <c r="D22" s="2" t="s">
        <v>59</v>
      </c>
      <c r="E22">
        <v>9</v>
      </c>
      <c r="F22">
        <v>2</v>
      </c>
      <c r="G22">
        <v>1</v>
      </c>
      <c r="H22">
        <v>10</v>
      </c>
      <c r="I22">
        <v>4</v>
      </c>
      <c r="J22">
        <v>7</v>
      </c>
      <c r="K22">
        <v>6</v>
      </c>
      <c r="L22">
        <v>8</v>
      </c>
      <c r="M22">
        <v>3</v>
      </c>
      <c r="N22">
        <v>5</v>
      </c>
    </row>
    <row r="23" spans="4:26">
      <c r="D23" s="2" t="s">
        <v>60</v>
      </c>
      <c r="E23">
        <v>9</v>
      </c>
      <c r="F23">
        <v>2</v>
      </c>
      <c r="G23">
        <v>1</v>
      </c>
      <c r="H23">
        <v>10</v>
      </c>
      <c r="I23">
        <v>4</v>
      </c>
      <c r="J23">
        <v>7</v>
      </c>
      <c r="K23">
        <v>6</v>
      </c>
      <c r="L23">
        <v>8</v>
      </c>
      <c r="M23">
        <v>3</v>
      </c>
      <c r="N23">
        <v>5</v>
      </c>
    </row>
    <row r="24" spans="4:26">
      <c r="D24" s="2" t="s">
        <v>61</v>
      </c>
      <c r="E24">
        <v>9</v>
      </c>
      <c r="F24">
        <v>2</v>
      </c>
      <c r="G24">
        <v>1</v>
      </c>
      <c r="H24">
        <v>10</v>
      </c>
      <c r="I24">
        <v>7</v>
      </c>
      <c r="J24">
        <v>4</v>
      </c>
      <c r="K24">
        <v>6</v>
      </c>
      <c r="L24">
        <v>8</v>
      </c>
      <c r="M24">
        <v>3</v>
      </c>
      <c r="N24">
        <v>5</v>
      </c>
    </row>
    <row r="25" spans="4:26">
      <c r="D25" s="2" t="s">
        <v>62</v>
      </c>
      <c r="E25">
        <v>10</v>
      </c>
      <c r="F25">
        <v>2</v>
      </c>
      <c r="G25">
        <v>1</v>
      </c>
      <c r="H25">
        <v>9</v>
      </c>
      <c r="I25">
        <v>4</v>
      </c>
      <c r="J25">
        <v>7</v>
      </c>
      <c r="K25">
        <v>6</v>
      </c>
      <c r="L25">
        <v>8</v>
      </c>
      <c r="M25">
        <v>3</v>
      </c>
      <c r="N25">
        <v>5</v>
      </c>
    </row>
    <row r="26" spans="4:26">
      <c r="D26" s="2" t="s">
        <v>63</v>
      </c>
      <c r="E26">
        <v>9</v>
      </c>
      <c r="F26">
        <v>1</v>
      </c>
      <c r="G26">
        <v>2</v>
      </c>
      <c r="H26">
        <v>8</v>
      </c>
      <c r="I26">
        <v>4</v>
      </c>
      <c r="J26">
        <v>7</v>
      </c>
      <c r="K26">
        <v>6</v>
      </c>
      <c r="L26">
        <v>10</v>
      </c>
      <c r="M26">
        <v>3</v>
      </c>
      <c r="N26">
        <v>5</v>
      </c>
    </row>
    <row r="27" spans="4:26">
      <c r="D27" s="2" t="s">
        <v>64</v>
      </c>
      <c r="E27">
        <v>9</v>
      </c>
      <c r="F27">
        <v>2</v>
      </c>
      <c r="G27">
        <v>1</v>
      </c>
      <c r="H27">
        <v>10</v>
      </c>
      <c r="I27">
        <v>4</v>
      </c>
      <c r="J27">
        <v>7</v>
      </c>
      <c r="K27">
        <v>6</v>
      </c>
      <c r="L27">
        <v>8</v>
      </c>
      <c r="M27">
        <v>3</v>
      </c>
      <c r="N27">
        <v>5</v>
      </c>
    </row>
    <row r="28" spans="4:26">
      <c r="D28" s="2" t="s">
        <v>65</v>
      </c>
      <c r="E28">
        <v>9</v>
      </c>
      <c r="F28">
        <v>2</v>
      </c>
      <c r="G28">
        <v>1</v>
      </c>
      <c r="H28">
        <v>10</v>
      </c>
      <c r="I28">
        <v>4</v>
      </c>
      <c r="J28">
        <v>7</v>
      </c>
      <c r="K28">
        <v>6</v>
      </c>
      <c r="L28">
        <v>8</v>
      </c>
      <c r="M28">
        <v>3</v>
      </c>
      <c r="N28">
        <v>5</v>
      </c>
    </row>
    <row r="29" spans="4:26">
      <c r="D29" s="2" t="s">
        <v>66</v>
      </c>
      <c r="E29">
        <v>9</v>
      </c>
      <c r="F29">
        <v>2</v>
      </c>
      <c r="G29">
        <v>1</v>
      </c>
      <c r="H29">
        <v>10</v>
      </c>
      <c r="I29">
        <v>4</v>
      </c>
      <c r="J29">
        <v>7</v>
      </c>
      <c r="K29">
        <v>6</v>
      </c>
      <c r="L29">
        <v>5</v>
      </c>
      <c r="M29">
        <v>3</v>
      </c>
      <c r="N29">
        <v>8</v>
      </c>
    </row>
    <row r="30" spans="4:26">
      <c r="D30" s="2" t="s">
        <v>67</v>
      </c>
      <c r="E30">
        <v>9</v>
      </c>
      <c r="F30">
        <v>2</v>
      </c>
      <c r="G30">
        <v>1</v>
      </c>
      <c r="H30">
        <v>10</v>
      </c>
      <c r="I30">
        <v>4</v>
      </c>
      <c r="J30">
        <v>7</v>
      </c>
      <c r="K30">
        <v>6</v>
      </c>
      <c r="L30">
        <v>8</v>
      </c>
      <c r="M30">
        <v>3</v>
      </c>
      <c r="N30">
        <v>5</v>
      </c>
    </row>
    <row r="31" spans="4:26">
      <c r="D31" s="2" t="s">
        <v>68</v>
      </c>
      <c r="E31">
        <v>9</v>
      </c>
      <c r="F31">
        <v>2</v>
      </c>
      <c r="G31">
        <v>1</v>
      </c>
      <c r="H31">
        <v>10</v>
      </c>
      <c r="I31">
        <v>4</v>
      </c>
      <c r="J31">
        <v>7</v>
      </c>
      <c r="K31">
        <v>6</v>
      </c>
      <c r="L31">
        <v>8</v>
      </c>
      <c r="M31">
        <v>3</v>
      </c>
      <c r="N31">
        <v>5</v>
      </c>
    </row>
    <row r="32" spans="4:26">
      <c r="D32" s="2" t="s">
        <v>69</v>
      </c>
      <c r="E32">
        <v>9</v>
      </c>
      <c r="F32">
        <v>2</v>
      </c>
      <c r="G32">
        <v>1</v>
      </c>
      <c r="H32">
        <v>10</v>
      </c>
      <c r="I32">
        <v>4</v>
      </c>
      <c r="J32">
        <v>7</v>
      </c>
      <c r="K32">
        <v>6</v>
      </c>
      <c r="L32">
        <v>8</v>
      </c>
      <c r="M32">
        <v>3</v>
      </c>
      <c r="N32">
        <v>5</v>
      </c>
    </row>
    <row r="33" spans="4:14">
      <c r="D33" s="2" t="s">
        <v>70</v>
      </c>
      <c r="E33">
        <v>9</v>
      </c>
      <c r="F33">
        <v>2</v>
      </c>
      <c r="G33">
        <v>1</v>
      </c>
      <c r="H33">
        <v>10</v>
      </c>
      <c r="I33">
        <v>4</v>
      </c>
      <c r="J33">
        <v>7</v>
      </c>
      <c r="K33">
        <v>6</v>
      </c>
      <c r="L33">
        <v>8</v>
      </c>
      <c r="M33">
        <v>3</v>
      </c>
      <c r="N33">
        <v>5</v>
      </c>
    </row>
    <row r="34" spans="4:14">
      <c r="D34" s="2" t="s">
        <v>71</v>
      </c>
      <c r="E34">
        <v>9</v>
      </c>
      <c r="F34">
        <v>3</v>
      </c>
      <c r="G34">
        <v>1</v>
      </c>
      <c r="H34">
        <v>10</v>
      </c>
      <c r="I34">
        <v>4</v>
      </c>
      <c r="J34">
        <v>7</v>
      </c>
      <c r="K34">
        <v>6</v>
      </c>
      <c r="L34">
        <v>8</v>
      </c>
      <c r="M34">
        <v>2</v>
      </c>
      <c r="N34">
        <v>5</v>
      </c>
    </row>
    <row r="35" spans="4:14">
      <c r="D35" s="2" t="s">
        <v>72</v>
      </c>
      <c r="E35">
        <v>9</v>
      </c>
      <c r="F35">
        <v>2</v>
      </c>
      <c r="G35">
        <v>1</v>
      </c>
      <c r="H35">
        <v>10</v>
      </c>
      <c r="I35">
        <v>4</v>
      </c>
      <c r="J35">
        <v>7</v>
      </c>
      <c r="K35">
        <v>6</v>
      </c>
      <c r="L35">
        <v>8</v>
      </c>
      <c r="M35">
        <v>3</v>
      </c>
      <c r="N35">
        <v>5</v>
      </c>
    </row>
    <row r="36" spans="4:14">
      <c r="D36" s="2" t="s">
        <v>73</v>
      </c>
      <c r="E36">
        <v>9</v>
      </c>
      <c r="F36">
        <v>2</v>
      </c>
      <c r="G36">
        <v>3</v>
      </c>
      <c r="H36">
        <v>10</v>
      </c>
      <c r="I36">
        <v>4</v>
      </c>
      <c r="J36">
        <v>7</v>
      </c>
      <c r="K36">
        <v>6</v>
      </c>
      <c r="L36">
        <v>8</v>
      </c>
      <c r="M36">
        <v>1</v>
      </c>
      <c r="N36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T32"/>
  <sheetViews>
    <sheetView topLeftCell="A10" workbookViewId="0">
      <selection activeCell="R33" sqref="R33"/>
    </sheetView>
  </sheetViews>
  <sheetFormatPr defaultRowHeight="15"/>
  <cols>
    <col min="19" max="19" width="19.85546875" bestFit="1" customWidth="1"/>
    <col min="20" max="20" width="19.28515625" bestFit="1" customWidth="1"/>
  </cols>
  <sheetData>
    <row r="9" spans="4:20">
      <c r="D9" t="s">
        <v>30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21</v>
      </c>
    </row>
    <row r="11" spans="4:20">
      <c r="D11" s="2"/>
    </row>
    <row r="12" spans="4:20">
      <c r="D12" s="2"/>
    </row>
    <row r="13" spans="4:20">
      <c r="D13" s="2"/>
    </row>
    <row r="14" spans="4:20">
      <c r="D14" s="2"/>
    </row>
    <row r="15" spans="4:20">
      <c r="D15" s="3" t="s">
        <v>39</v>
      </c>
      <c r="E15">
        <v>0.59399999999999997</v>
      </c>
      <c r="F15">
        <v>0.74750000000000005</v>
      </c>
      <c r="G15">
        <v>0.66169999999999995</v>
      </c>
      <c r="H15">
        <v>0.39019999999999999</v>
      </c>
      <c r="I15">
        <v>0.65780000000000005</v>
      </c>
      <c r="J15">
        <v>0.47470000000000001</v>
      </c>
      <c r="K15">
        <v>0.50590000000000002</v>
      </c>
      <c r="L15">
        <v>0.38900000000000001</v>
      </c>
      <c r="M15">
        <v>0.53610000000000002</v>
      </c>
      <c r="N15">
        <v>0.37690000000000001</v>
      </c>
      <c r="O15">
        <v>0.39750000000000002</v>
      </c>
    </row>
    <row r="16" spans="4:20">
      <c r="D16" s="2" t="s">
        <v>35</v>
      </c>
      <c r="E16">
        <v>0.58430000000000004</v>
      </c>
      <c r="F16">
        <v>0.76149999999999995</v>
      </c>
      <c r="G16">
        <v>0.64019999999999999</v>
      </c>
      <c r="H16">
        <v>0.40839999999999999</v>
      </c>
      <c r="I16">
        <v>0.65239999999999998</v>
      </c>
      <c r="J16">
        <v>0.4748</v>
      </c>
      <c r="K16">
        <v>0.45779999999999998</v>
      </c>
      <c r="L16">
        <v>0.33629999999999999</v>
      </c>
      <c r="M16">
        <v>0.53939999999999999</v>
      </c>
      <c r="N16">
        <v>0.38250000000000001</v>
      </c>
      <c r="O16">
        <v>0.40799999999999997</v>
      </c>
      <c r="S16" t="s">
        <v>57</v>
      </c>
      <c r="T16" t="s">
        <v>58</v>
      </c>
    </row>
    <row r="17" spans="4:20">
      <c r="D17" s="2" t="s">
        <v>40</v>
      </c>
      <c r="E17">
        <v>0.60719999999999996</v>
      </c>
      <c r="F17">
        <v>0.81059999999999999</v>
      </c>
      <c r="G17">
        <v>0.66720000000000002</v>
      </c>
      <c r="H17">
        <v>0.40050000000000002</v>
      </c>
      <c r="I17">
        <v>0.67510000000000003</v>
      </c>
      <c r="J17">
        <v>0.48220000000000002</v>
      </c>
      <c r="K17">
        <v>0.48830000000000001</v>
      </c>
      <c r="L17">
        <v>0.37019999999999997</v>
      </c>
      <c r="M17">
        <v>0.54859999999999998</v>
      </c>
      <c r="N17">
        <v>0.38109999999999999</v>
      </c>
      <c r="O17">
        <v>0.40560000000000002</v>
      </c>
      <c r="R17" t="s">
        <v>49</v>
      </c>
      <c r="S17">
        <v>4</v>
      </c>
      <c r="T17">
        <v>9</v>
      </c>
    </row>
    <row r="18" spans="4:20">
      <c r="D18" s="2" t="s">
        <v>41</v>
      </c>
      <c r="E18">
        <v>0.56540000000000001</v>
      </c>
      <c r="F18">
        <v>0.72750000000000004</v>
      </c>
      <c r="G18">
        <v>0.62880000000000003</v>
      </c>
      <c r="H18">
        <v>0.37359999999999999</v>
      </c>
      <c r="I18">
        <v>0.62629999999999997</v>
      </c>
      <c r="J18">
        <v>0.44529999999999997</v>
      </c>
      <c r="K18">
        <v>0.38059999999999999</v>
      </c>
      <c r="L18">
        <v>0.3029</v>
      </c>
      <c r="M18">
        <v>0.50319999999999998</v>
      </c>
      <c r="N18">
        <v>0.35639999999999999</v>
      </c>
      <c r="O18">
        <v>0.38840000000000002</v>
      </c>
      <c r="R18" t="s">
        <v>50</v>
      </c>
      <c r="S18">
        <v>3</v>
      </c>
      <c r="T18">
        <v>9</v>
      </c>
    </row>
    <row r="19" spans="4:20">
      <c r="D19" t="s">
        <v>30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K19" t="s">
        <v>16</v>
      </c>
      <c r="L19" t="s">
        <v>17</v>
      </c>
      <c r="M19" t="s">
        <v>18</v>
      </c>
      <c r="N19" t="s">
        <v>19</v>
      </c>
      <c r="O19" t="s">
        <v>21</v>
      </c>
      <c r="R19" t="s">
        <v>51</v>
      </c>
      <c r="S19">
        <v>3</v>
      </c>
      <c r="T19">
        <v>9</v>
      </c>
    </row>
    <row r="20" spans="4:20">
      <c r="D20" t="s">
        <v>31</v>
      </c>
      <c r="E20">
        <v>4</v>
      </c>
      <c r="F20">
        <v>1</v>
      </c>
      <c r="G20">
        <v>2</v>
      </c>
      <c r="H20">
        <v>9</v>
      </c>
      <c r="I20">
        <v>3</v>
      </c>
      <c r="J20">
        <v>6</v>
      </c>
      <c r="K20">
        <v>7</v>
      </c>
      <c r="L20">
        <v>11</v>
      </c>
      <c r="M20">
        <v>5</v>
      </c>
      <c r="N20">
        <v>10</v>
      </c>
      <c r="O20">
        <v>8</v>
      </c>
      <c r="R20" t="s">
        <v>52</v>
      </c>
      <c r="S20">
        <v>4</v>
      </c>
      <c r="T20">
        <v>9</v>
      </c>
    </row>
    <row r="21" spans="4:20">
      <c r="D21" s="2" t="s">
        <v>32</v>
      </c>
      <c r="E21">
        <v>5</v>
      </c>
      <c r="F21">
        <v>1</v>
      </c>
      <c r="G21">
        <v>2</v>
      </c>
      <c r="H21">
        <v>8</v>
      </c>
      <c r="I21">
        <v>6</v>
      </c>
      <c r="J21">
        <v>9</v>
      </c>
      <c r="K21">
        <v>10</v>
      </c>
      <c r="L21">
        <v>11</v>
      </c>
      <c r="M21">
        <v>3</v>
      </c>
      <c r="N21">
        <v>4</v>
      </c>
      <c r="O21">
        <v>7</v>
      </c>
      <c r="R21" t="s">
        <v>53</v>
      </c>
      <c r="S21">
        <v>3</v>
      </c>
      <c r="T21">
        <v>9</v>
      </c>
    </row>
    <row r="22" spans="4:20">
      <c r="D22" t="s">
        <v>36</v>
      </c>
      <c r="E22">
        <v>5</v>
      </c>
      <c r="F22">
        <v>1</v>
      </c>
      <c r="G22">
        <v>4</v>
      </c>
      <c r="H22">
        <v>6</v>
      </c>
      <c r="I22">
        <v>3</v>
      </c>
      <c r="J22">
        <v>8</v>
      </c>
      <c r="K22">
        <v>11</v>
      </c>
      <c r="L22">
        <v>10</v>
      </c>
      <c r="M22">
        <v>2</v>
      </c>
      <c r="N22">
        <v>9</v>
      </c>
      <c r="O22">
        <v>7</v>
      </c>
      <c r="R22" t="s">
        <v>54</v>
      </c>
      <c r="S22">
        <v>5</v>
      </c>
      <c r="T22">
        <v>9</v>
      </c>
    </row>
    <row r="23" spans="4:20">
      <c r="D23" s="2" t="s">
        <v>33</v>
      </c>
      <c r="E23">
        <v>4</v>
      </c>
      <c r="F23">
        <v>1</v>
      </c>
      <c r="G23">
        <v>2</v>
      </c>
      <c r="H23">
        <v>8</v>
      </c>
      <c r="I23">
        <v>3</v>
      </c>
      <c r="J23">
        <v>6</v>
      </c>
      <c r="K23">
        <v>9</v>
      </c>
      <c r="L23">
        <v>11</v>
      </c>
      <c r="M23">
        <v>5</v>
      </c>
      <c r="N23">
        <v>10</v>
      </c>
      <c r="O23">
        <v>7</v>
      </c>
      <c r="R23" t="s">
        <v>55</v>
      </c>
      <c r="S23">
        <v>4</v>
      </c>
      <c r="T23">
        <v>9</v>
      </c>
    </row>
    <row r="24" spans="4:20">
      <c r="D24" s="2" t="s">
        <v>37</v>
      </c>
      <c r="E24">
        <v>4</v>
      </c>
      <c r="F24">
        <v>1</v>
      </c>
      <c r="G24">
        <v>2</v>
      </c>
      <c r="H24">
        <v>7</v>
      </c>
      <c r="I24">
        <v>3</v>
      </c>
      <c r="J24">
        <v>9</v>
      </c>
      <c r="K24">
        <v>11</v>
      </c>
      <c r="L24">
        <v>10</v>
      </c>
      <c r="M24">
        <v>5</v>
      </c>
      <c r="N24">
        <v>8</v>
      </c>
      <c r="O24">
        <v>6</v>
      </c>
      <c r="R24" t="s">
        <v>56</v>
      </c>
      <c r="S24">
        <v>3</v>
      </c>
      <c r="T24">
        <v>9</v>
      </c>
    </row>
    <row r="25" spans="4:20">
      <c r="D25" s="2" t="s">
        <v>38</v>
      </c>
      <c r="E25">
        <v>4</v>
      </c>
      <c r="F25">
        <v>1</v>
      </c>
      <c r="G25">
        <v>2</v>
      </c>
      <c r="H25">
        <v>9</v>
      </c>
      <c r="I25">
        <v>3</v>
      </c>
      <c r="J25">
        <v>6</v>
      </c>
      <c r="K25">
        <v>7</v>
      </c>
      <c r="L25">
        <v>11</v>
      </c>
      <c r="M25">
        <v>5</v>
      </c>
      <c r="N25">
        <v>10</v>
      </c>
      <c r="O25">
        <v>8</v>
      </c>
    </row>
    <row r="26" spans="4:20">
      <c r="D26" s="2" t="s">
        <v>34</v>
      </c>
      <c r="E26">
        <v>4</v>
      </c>
      <c r="F26">
        <v>1</v>
      </c>
      <c r="G26">
        <v>2</v>
      </c>
      <c r="H26">
        <v>10</v>
      </c>
      <c r="I26">
        <v>3</v>
      </c>
      <c r="J26">
        <v>6</v>
      </c>
      <c r="K26">
        <v>7</v>
      </c>
      <c r="L26">
        <v>11</v>
      </c>
      <c r="M26">
        <v>5</v>
      </c>
      <c r="N26">
        <v>9</v>
      </c>
      <c r="O26">
        <v>8</v>
      </c>
    </row>
    <row r="27" spans="4:20">
      <c r="D27" s="3" t="s">
        <v>39</v>
      </c>
      <c r="E27">
        <v>4</v>
      </c>
      <c r="F27">
        <v>1</v>
      </c>
      <c r="G27">
        <v>2</v>
      </c>
      <c r="H27">
        <v>9</v>
      </c>
      <c r="I27">
        <v>3</v>
      </c>
      <c r="J27">
        <v>7</v>
      </c>
      <c r="K27">
        <v>6</v>
      </c>
      <c r="L27">
        <v>10</v>
      </c>
      <c r="M27">
        <v>5</v>
      </c>
      <c r="N27">
        <v>11</v>
      </c>
      <c r="O27">
        <v>8</v>
      </c>
    </row>
    <row r="28" spans="4:20">
      <c r="D28" s="2" t="s">
        <v>35</v>
      </c>
      <c r="E28">
        <v>4</v>
      </c>
      <c r="F28">
        <v>1</v>
      </c>
      <c r="G28">
        <v>3</v>
      </c>
      <c r="H28">
        <v>9</v>
      </c>
      <c r="I28">
        <v>2</v>
      </c>
      <c r="J28">
        <v>6</v>
      </c>
      <c r="K28">
        <v>7</v>
      </c>
      <c r="L28">
        <v>11</v>
      </c>
      <c r="M28">
        <v>5</v>
      </c>
      <c r="N28">
        <v>10</v>
      </c>
      <c r="O28">
        <v>8</v>
      </c>
    </row>
    <row r="29" spans="4:20">
      <c r="D29" s="2" t="s">
        <v>40</v>
      </c>
      <c r="E29">
        <v>4</v>
      </c>
      <c r="F29">
        <v>1</v>
      </c>
      <c r="G29">
        <v>3</v>
      </c>
      <c r="H29">
        <v>9</v>
      </c>
      <c r="I29">
        <v>2</v>
      </c>
      <c r="J29">
        <v>7</v>
      </c>
      <c r="K29">
        <v>6</v>
      </c>
      <c r="L29">
        <v>11</v>
      </c>
      <c r="M29">
        <v>5</v>
      </c>
      <c r="N29">
        <v>10</v>
      </c>
      <c r="O29">
        <v>8</v>
      </c>
    </row>
    <row r="30" spans="4:20">
      <c r="D30" s="2" t="s">
        <v>41</v>
      </c>
      <c r="E30">
        <v>4</v>
      </c>
      <c r="F30">
        <v>1</v>
      </c>
      <c r="G30">
        <v>2</v>
      </c>
      <c r="H30">
        <v>9</v>
      </c>
      <c r="I30">
        <v>3</v>
      </c>
      <c r="J30">
        <v>6</v>
      </c>
      <c r="K30">
        <v>7</v>
      </c>
      <c r="L30">
        <v>11</v>
      </c>
      <c r="M30">
        <v>5</v>
      </c>
      <c r="N30">
        <v>10</v>
      </c>
      <c r="O30">
        <v>8</v>
      </c>
    </row>
    <row r="32" spans="4:20">
      <c r="E32">
        <v>4</v>
      </c>
      <c r="F32">
        <v>1</v>
      </c>
      <c r="G32">
        <v>2</v>
      </c>
      <c r="H32">
        <v>9</v>
      </c>
      <c r="I32">
        <v>3</v>
      </c>
      <c r="J32">
        <v>6</v>
      </c>
      <c r="K32">
        <v>7</v>
      </c>
      <c r="L32">
        <v>11</v>
      </c>
      <c r="M32">
        <v>5</v>
      </c>
      <c r="N32">
        <v>10</v>
      </c>
      <c r="O32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6"/>
  <sheetViews>
    <sheetView topLeftCell="A4" workbookViewId="0">
      <selection activeCell="I26" sqref="I26"/>
    </sheetView>
  </sheetViews>
  <sheetFormatPr defaultRowHeight="15"/>
  <sheetData>
    <row r="6" spans="2:7">
      <c r="C6">
        <v>5</v>
      </c>
      <c r="D6">
        <v>9</v>
      </c>
      <c r="E6">
        <v>12</v>
      </c>
      <c r="F6">
        <v>15</v>
      </c>
      <c r="G6">
        <v>20</v>
      </c>
    </row>
    <row r="7" spans="2:7">
      <c r="B7" s="2">
        <v>10</v>
      </c>
      <c r="C7">
        <v>10</v>
      </c>
      <c r="D7">
        <v>16</v>
      </c>
      <c r="E7">
        <v>20</v>
      </c>
      <c r="F7">
        <v>20</v>
      </c>
      <c r="G7">
        <v>23</v>
      </c>
    </row>
    <row r="8" spans="2:7">
      <c r="B8">
        <v>15</v>
      </c>
      <c r="C8">
        <v>10</v>
      </c>
      <c r="D8">
        <v>16</v>
      </c>
      <c r="E8">
        <v>20</v>
      </c>
      <c r="F8">
        <v>21</v>
      </c>
      <c r="G8">
        <v>23</v>
      </c>
    </row>
    <row r="9" spans="2:7">
      <c r="B9" s="2">
        <v>20</v>
      </c>
      <c r="C9">
        <v>11</v>
      </c>
      <c r="D9">
        <v>17</v>
      </c>
      <c r="E9">
        <v>20</v>
      </c>
      <c r="F9">
        <v>22</v>
      </c>
      <c r="G9">
        <v>25</v>
      </c>
    </row>
    <row r="10" spans="2:7">
      <c r="B10" s="2">
        <v>25</v>
      </c>
      <c r="C10">
        <v>10</v>
      </c>
      <c r="D10">
        <v>17</v>
      </c>
      <c r="E10">
        <v>19</v>
      </c>
      <c r="F10">
        <v>21</v>
      </c>
      <c r="G10">
        <v>24</v>
      </c>
    </row>
    <row r="11" spans="2:7">
      <c r="B11" s="2">
        <v>30</v>
      </c>
      <c r="C11">
        <v>13</v>
      </c>
      <c r="D11">
        <v>18</v>
      </c>
      <c r="E11">
        <v>21</v>
      </c>
      <c r="F11">
        <v>23</v>
      </c>
      <c r="G11">
        <v>25</v>
      </c>
    </row>
    <row r="12" spans="2:7">
      <c r="B12" s="2">
        <v>35</v>
      </c>
      <c r="C12">
        <v>13</v>
      </c>
      <c r="D12">
        <v>19</v>
      </c>
      <c r="E12">
        <v>23</v>
      </c>
      <c r="F12">
        <v>24</v>
      </c>
      <c r="G12">
        <v>26</v>
      </c>
    </row>
    <row r="13" spans="2:7">
      <c r="B13" s="3"/>
    </row>
    <row r="14" spans="2:7">
      <c r="B14" s="2"/>
    </row>
    <row r="15" spans="2:7">
      <c r="B15" s="2"/>
    </row>
    <row r="16" spans="2:7">
      <c r="B16" s="2"/>
    </row>
  </sheetData>
  <pageMargins left="0.7" right="0.7" top="0.75" bottom="0.75" header="0.3" footer="0.3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I14"/>
  <sheetViews>
    <sheetView tabSelected="1" workbookViewId="0">
      <selection activeCell="I18" sqref="I18"/>
    </sheetView>
  </sheetViews>
  <sheetFormatPr defaultRowHeight="15"/>
  <cols>
    <col min="8" max="8" width="11.85546875" bestFit="1" customWidth="1"/>
  </cols>
  <sheetData>
    <row r="7" spans="4:9">
      <c r="G7" t="s">
        <v>47</v>
      </c>
      <c r="H7" t="s">
        <v>48</v>
      </c>
      <c r="I7" t="s">
        <v>42</v>
      </c>
    </row>
    <row r="8" spans="4:9">
      <c r="D8" s="2">
        <v>10</v>
      </c>
      <c r="G8">
        <v>15</v>
      </c>
      <c r="H8">
        <v>18</v>
      </c>
      <c r="I8">
        <v>17</v>
      </c>
    </row>
    <row r="9" spans="4:9">
      <c r="D9">
        <v>15</v>
      </c>
      <c r="G9">
        <v>16</v>
      </c>
      <c r="H9">
        <v>20</v>
      </c>
      <c r="I9">
        <v>17.5</v>
      </c>
    </row>
    <row r="10" spans="4:9">
      <c r="D10" s="2">
        <v>20</v>
      </c>
      <c r="G10">
        <v>17</v>
      </c>
      <c r="H10">
        <v>22</v>
      </c>
      <c r="I10">
        <v>19</v>
      </c>
    </row>
    <row r="11" spans="4:9">
      <c r="D11" s="2">
        <v>25</v>
      </c>
      <c r="G11">
        <v>18</v>
      </c>
      <c r="H11">
        <v>22</v>
      </c>
      <c r="I11">
        <v>21</v>
      </c>
    </row>
    <row r="12" spans="4:9">
      <c r="D12" s="2">
        <v>30</v>
      </c>
      <c r="G12">
        <v>20</v>
      </c>
      <c r="H12">
        <v>24</v>
      </c>
      <c r="I12">
        <v>22</v>
      </c>
    </row>
    <row r="13" spans="4:9">
      <c r="D13" s="2"/>
    </row>
    <row r="14" spans="4:9">
      <c r="D14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F28" sqref="F28"/>
    </sheetView>
  </sheetViews>
  <sheetFormatPr defaultRowHeight="15"/>
  <cols>
    <col min="2" max="2" width="20.7109375" bestFit="1" customWidth="1"/>
  </cols>
  <sheetData>
    <row r="2" spans="1:6">
      <c r="B2" s="4"/>
      <c r="C2" t="s">
        <v>74</v>
      </c>
    </row>
    <row r="3" spans="1:6">
      <c r="A3" s="4"/>
      <c r="B3" t="s">
        <v>75</v>
      </c>
      <c r="D3" t="s">
        <v>76</v>
      </c>
    </row>
    <row r="4" spans="1:6">
      <c r="A4" s="4"/>
      <c r="B4" t="s">
        <v>75</v>
      </c>
      <c r="D4" t="s">
        <v>77</v>
      </c>
    </row>
    <row r="5" spans="1:6">
      <c r="A5" s="4"/>
      <c r="B5" t="s">
        <v>75</v>
      </c>
      <c r="D5" t="s">
        <v>78</v>
      </c>
    </row>
    <row r="6" spans="1:6">
      <c r="A6" s="4"/>
      <c r="B6" t="s">
        <v>75</v>
      </c>
      <c r="D6" t="s">
        <v>79</v>
      </c>
    </row>
    <row r="7" spans="1:6">
      <c r="A7" s="4"/>
      <c r="B7" t="s">
        <v>75</v>
      </c>
      <c r="D7" t="s">
        <v>80</v>
      </c>
    </row>
    <row r="8" spans="1:6">
      <c r="A8" s="4"/>
      <c r="B8" t="s">
        <v>75</v>
      </c>
      <c r="C8" t="s">
        <v>81</v>
      </c>
    </row>
    <row r="9" spans="1:6">
      <c r="A9" s="4"/>
      <c r="B9" t="s">
        <v>75</v>
      </c>
      <c r="D9" t="s">
        <v>82</v>
      </c>
    </row>
    <row r="10" spans="1:6">
      <c r="A10" s="4"/>
    </row>
    <row r="11" spans="1:6">
      <c r="A11" s="4"/>
    </row>
    <row r="14" spans="1:6">
      <c r="D14" t="s">
        <v>83</v>
      </c>
      <c r="E14">
        <v>3.383</v>
      </c>
      <c r="F14">
        <v>42.287500000000001</v>
      </c>
    </row>
    <row r="15" spans="1:6">
      <c r="D15" t="s">
        <v>84</v>
      </c>
      <c r="E15">
        <v>2.0840000000000001</v>
      </c>
      <c r="F15">
        <v>68.341250000000002</v>
      </c>
    </row>
    <row r="16" spans="1:6">
      <c r="D16" t="s">
        <v>85</v>
      </c>
      <c r="E16">
        <v>1.5469999999999999</v>
      </c>
      <c r="F16">
        <v>87.678749999999994</v>
      </c>
    </row>
    <row r="17" spans="4:6">
      <c r="D17" t="s">
        <v>86</v>
      </c>
      <c r="E17">
        <v>0.48399999999999999</v>
      </c>
      <c r="F17">
        <v>93.731250000000003</v>
      </c>
    </row>
    <row r="18" spans="4:6">
      <c r="D18" t="s">
        <v>87</v>
      </c>
      <c r="E18">
        <v>0.308</v>
      </c>
      <c r="F18">
        <v>97.731250000000003</v>
      </c>
    </row>
    <row r="19" spans="4:6">
      <c r="D19" t="s">
        <v>88</v>
      </c>
      <c r="E19">
        <v>0.13</v>
      </c>
      <c r="F19">
        <v>99.22</v>
      </c>
    </row>
    <row r="20" spans="4:6">
      <c r="D20" t="s">
        <v>89</v>
      </c>
      <c r="E20">
        <v>0.06</v>
      </c>
      <c r="F20">
        <v>99.976249999999993</v>
      </c>
    </row>
    <row r="21" spans="4:6">
      <c r="D21" t="s">
        <v>90</v>
      </c>
      <c r="E21">
        <v>1E-3</v>
      </c>
      <c r="F21"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fig2</vt:lpstr>
      <vt:lpstr>Sheet4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2018-10-24T03:25:51Z</cp:lastPrinted>
  <dcterms:created xsi:type="dcterms:W3CDTF">2017-02-06T03:16:13Z</dcterms:created>
  <dcterms:modified xsi:type="dcterms:W3CDTF">2019-05-09T18:04:28Z</dcterms:modified>
</cp:coreProperties>
</file>